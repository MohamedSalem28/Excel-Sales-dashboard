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9c9dd81ebfc51d6c/Desktop/office/WWI/New Project Excel/"/>
    </mc:Choice>
  </mc:AlternateContent>
  <xr:revisionPtr revIDLastSave="694" documentId="8_{7D5ED479-4869-45A4-BD9F-2506C0891AB6}" xr6:coauthVersionLast="47" xr6:coauthVersionMax="47" xr10:uidLastSave="{3BE57476-0F10-4970-A4D8-430992FEEF6E}"/>
  <bookViews>
    <workbookView xWindow="-110" yWindow="-110" windowWidth="19420" windowHeight="10300" firstSheet="2" activeTab="5" xr2:uid="{68C7E2DD-AE6B-4E58-A143-142FCCE84039}"/>
  </bookViews>
  <sheets>
    <sheet name="New Project Excel" sheetId="2" state="hidden" r:id="rId1"/>
    <sheet name="Customers" sheetId="3" r:id="rId2"/>
    <sheet name="Orders" sheetId="4" r:id="rId3"/>
    <sheet name="products" sheetId="5" r:id="rId4"/>
    <sheet name="Sheet2" sheetId="6" r:id="rId5"/>
    <sheet name="Dashboard" sheetId="7" r:id="rId6"/>
  </sheets>
  <definedNames>
    <definedName name="ExternalData_1" localSheetId="0" hidden="1">'New Project Excel'!$A$1:$F$5</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38" r:id="rId7"/>
    <pivotCache cacheId="141" r:id="rId8"/>
    <pivotCache cacheId="144" r:id="rId9"/>
    <pivotCache cacheId="147" r:id="rId10"/>
    <pivotCache cacheId="150" r:id="rId11"/>
    <pivotCache cacheId="153" r:id="rId12"/>
    <pivotCache cacheId="156" r:id="rId13"/>
    <pivotCache cacheId="159" r:id="rId14"/>
    <pivotCache cacheId="162" r:id="rId15"/>
    <pivotCache cacheId="165" r:id="rId16"/>
  </pivotCaches>
  <extLst>
    <ext xmlns:x14="http://schemas.microsoft.com/office/spreadsheetml/2009/9/main" uri="{876F7934-8845-4945-9796-88D515C7AA90}">
      <x14:pivotCaches>
        <pivotCache cacheId="46"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7"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ew Project Excel_05653d39-53b7-48f0-b5c2-63d4df3812f8" name="New Project Excel" connection="Query - New Project Excel"/>
          <x15:modelTable id="Customers_25cd2425-a720-45e2-a266-338f622b0f49" name="Customers" connection="Query - Customers"/>
          <x15:modelTable id="Orders_f41d9b2a-ead0-4b32-a14d-a9b9ad802e1c" name="Orders" connection="Query - Orders"/>
          <x15:modelTable id="products_ac2f3eec-8476-4c2a-8a0a-9d8aaa3b32c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447074-88E2-469A-934A-093E194510A9}" keepAlive="1" name="ModelConnection_ExternalData_1" description="Data Model" type="5" refreshedVersion="8" minRefreshableVersion="5" saveData="1">
    <dbPr connection="Data Model Connection" command="New Project Excel" commandType="3"/>
    <extLst>
      <ext xmlns:x15="http://schemas.microsoft.com/office/spreadsheetml/2010/11/main" uri="{DE250136-89BD-433C-8126-D09CA5730AF9}">
        <x15:connection id="" model="1"/>
      </ext>
    </extLst>
  </connection>
  <connection id="2" xr16:uid="{D2496431-B857-4C0F-BBC8-0A7F9D1A91B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DA14FE61-4887-471E-AA58-BE31FE65C59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36F5920-5052-4381-AD55-C95B29A512C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35CB6E5B-63CB-4109-8982-581432965AC8}" name="Query - Customers" description="Connection to the 'Customers' query in the workbook." type="100" refreshedVersion="8" minRefreshableVersion="5">
    <extLst>
      <ext xmlns:x15="http://schemas.microsoft.com/office/spreadsheetml/2010/11/main" uri="{DE250136-89BD-433C-8126-D09CA5730AF9}">
        <x15:connection id="650272cc-b2c0-482f-b271-eaf8078550fb"/>
      </ext>
    </extLst>
  </connection>
  <connection id="6" xr16:uid="{9235ED39-6AC4-4325-9E27-176EC3346260}" name="Query - New Project Excel" description="Connection to the 'New Project Excel' query in the workbook." type="100" refreshedVersion="8" minRefreshableVersion="5">
    <extLst>
      <ext xmlns:x15="http://schemas.microsoft.com/office/spreadsheetml/2010/11/main" uri="{DE250136-89BD-433C-8126-D09CA5730AF9}">
        <x15:connection id="2afed3e1-5e8d-44d6-a0e3-43e2e4b2002f"/>
      </ext>
    </extLst>
  </connection>
  <connection id="7" xr16:uid="{CBCD7D53-025E-4AEC-A0C5-62E6E67EEB01}" name="Query - Orders" description="Connection to the 'Orders' query in the workbook." type="100" refreshedVersion="8" minRefreshableVersion="5">
    <extLst>
      <ext xmlns:x15="http://schemas.microsoft.com/office/spreadsheetml/2010/11/main" uri="{DE250136-89BD-433C-8126-D09CA5730AF9}">
        <x15:connection id="53428199-34ee-4256-8dc2-08673738b69b"/>
      </ext>
    </extLst>
  </connection>
  <connection id="8" xr16:uid="{A825F73F-F83C-4383-9954-CB3753B6DB51}" name="Query - products" description="Connection to the 'products' query in the workbook." type="100" refreshedVersion="8" minRefreshableVersion="5">
    <extLst>
      <ext xmlns:x15="http://schemas.microsoft.com/office/spreadsheetml/2010/11/main" uri="{DE250136-89BD-433C-8126-D09CA5730AF9}">
        <x15:connection id="cdb92fbf-c252-46e0-936a-fc3d054ec275"/>
      </ext>
    </extLst>
  </connection>
  <connection id="9" xr16:uid="{28F77F4E-1566-4F94-8478-D8A99DB703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<sst xmlns="http://schemas.openxmlformats.org/spreadsheetml/2006/main" count="6020" uniqueCount="950">
  <si>
    <t>Name</t>
  </si>
  <si>
    <t>Extension</t>
  </si>
  <si>
    <t>Date accessed</t>
  </si>
  <si>
    <t>Date modified</t>
  </si>
  <si>
    <t>Date created</t>
  </si>
  <si>
    <t>Folder Path</t>
  </si>
  <si>
    <t>customers.csv</t>
  </si>
  <si>
    <t>.csv</t>
  </si>
  <si>
    <t>C:\Users\DELL\OneDrive\Desktop\office\WWI\New Project Excel\</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</si>
  <si>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</si>
  <si>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</si>
  <si>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</si>
  <si>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</si>
  <si>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</si>
  <si>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</si>
  <si>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</si>
  <si>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</si>
  <si>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</si>
  <si>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</si>
  <si>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</si>
  <si>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</si>
  <si>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</si>
  <si>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</si>
  <si>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</si>
  <si>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</si>
  <si>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</si>
  <si>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</si>
  <si>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</si>
  <si>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</si>
  <si>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</si>
  <si>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</si>
  <si>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</si>
  <si>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</si>
  <si>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</si>
  <si>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</si>
  <si>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</si>
  <si>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</si>
  <si>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</si>
  <si>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</si>
  <si>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</si>
  <si>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</si>
  <si>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</si>
  <si>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</si>
  <si>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</si>
  <si>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</si>
  <si>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</si>
  <si>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</si>
  <si>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</si>
  <si>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</si>
  <si>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</si>
  <si>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</si>
  <si>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</si>
  <si>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</si>
  <si>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</si>
  <si>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</si>
  <si>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</si>
  <si>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</si>
  <si>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</si>
  <si>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</si>
  <si>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</si>
  <si>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</si>
  <si>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</si>
  <si>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</si>
  <si>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</si>
  <si>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</si>
  <si>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</si>
  <si>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</si>
  <si>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</si>
  <si>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</si>
  <si>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</si>
  <si>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</si>
  <si>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</si>
  <si>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</si>
  <si>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</si>
  <si>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</si>
  <si>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</si>
  <si>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</si>
  <si>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</si>
  <si>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</si>
  <si>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</si>
  <si>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</si>
  <si>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</si>
  <si>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</si>
  <si>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</si>
  <si>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</si>
  <si>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</si>
  <si>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</si>
  <si>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</si>
  <si>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</si>
  <si>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</si>
  <si>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</si>
  <si>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</si>
  <si>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</si>
  <si>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</si>
  <si>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</si>
  <si>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</si>
  <si>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</si>
  <si>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</si>
  <si>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</si>
  <si>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</si>
  <si>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</si>
  <si>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</si>
  <si>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</si>
  <si>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</si>
  <si>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</si>
  <si>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</si>
  <si>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</si>
  <si>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</si>
  <si>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</si>
  <si>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</si>
  <si>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</si>
  <si>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</si>
  <si>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</si>
  <si>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</si>
  <si>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</si>
  <si>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</si>
  <si>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</si>
  <si>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</si>
  <si>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</si>
  <si>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</si>
  <si>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</si>
  <si>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</si>
  <si>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</si>
  <si>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</si>
  <si>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</si>
  <si>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</si>
  <si>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</si>
  <si>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</si>
  <si>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</si>
  <si>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</si>
  <si>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</si>
  <si>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</si>
  <si>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</si>
  <si>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</si>
  <si>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</si>
  <si>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</si>
  <si>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</si>
  <si>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</si>
  <si>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</si>
  <si>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</si>
  <si>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</si>
  <si>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</si>
  <si>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</si>
  <si>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</si>
  <si>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</si>
  <si>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</si>
  <si>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</si>
  <si>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</si>
  <si>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</si>
  <si>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</si>
  <si>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</si>
  <si>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</si>
  <si>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</si>
  <si>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</si>
  <si>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</si>
  <si>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</si>
  <si>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</si>
  <si>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</si>
  <si>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</si>
  <si>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</si>
  <si>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</si>
  <si>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</si>
  <si>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</si>
  <si>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</si>
  <si>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</si>
  <si>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</si>
  <si>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</si>
  <si>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</si>
  <si>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</si>
  <si>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</si>
  <si>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</si>
  <si>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</si>
  <si>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</si>
  <si>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</si>
  <si>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</si>
  <si>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</si>
  <si>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</si>
  <si>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</si>
  <si>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</si>
  <si>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</si>
  <si>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</si>
  <si>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</si>
  <si>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</si>
  <si>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</si>
  <si>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</si>
  <si>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</si>
  <si>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</si>
  <si>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</si>
  <si>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</si>
  <si>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</si>
  <si>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</si>
  <si>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</si>
  <si>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</si>
  <si>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</si>
  <si>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</si>
  <si>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</si>
  <si>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</si>
  <si>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</si>
  <si>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</si>
  <si>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</si>
  <si>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</si>
  <si>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</si>
  <si>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</si>
  <si>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</si>
  <si>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</si>
  <si>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</si>
  <si>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</si>
  <si>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</si>
  <si>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</si>
  <si>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</si>
  <si>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</si>
  <si>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</si>
  <si>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</si>
  <si>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</si>
  <si>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</si>
  <si>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</si>
  <si>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</si>
  <si>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</si>
  <si>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</si>
  <si>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</si>
  <si>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</si>
  <si>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</si>
  <si>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</si>
  <si>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</si>
  <si>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</si>
  <si>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</si>
  <si>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</si>
  <si>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</si>
  <si>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</si>
  <si>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</si>
  <si>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</si>
  <si>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</si>
  <si>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</si>
  <si>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</si>
  <si>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</si>
  <si>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</si>
  <si>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</si>
  <si>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</si>
  <si>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</si>
  <si>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</si>
  <si>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</si>
  <si>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</si>
  <si>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</si>
  <si>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</si>
  <si>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</si>
  <si>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</si>
  <si>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</si>
  <si>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</si>
  <si>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</si>
  <si>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</si>
  <si>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</si>
  <si>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</si>
  <si>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</si>
  <si>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</si>
  <si>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</si>
  <si>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</si>
  <si>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</si>
  <si>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</si>
  <si>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</si>
  <si>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</si>
  <si>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</si>
  <si>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</si>
  <si>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</si>
  <si>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</si>
  <si>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</si>
  <si>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</si>
  <si>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</si>
  <si>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</si>
  <si>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</si>
  <si>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</si>
  <si>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</si>
  <si>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</si>
  <si>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</si>
  <si>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</si>
  <si>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</si>
  <si>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</si>
  <si>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</si>
  <si>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</si>
  <si>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</si>
  <si>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</si>
  <si>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</si>
  <si>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</si>
  <si>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</si>
  <si>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</si>
  <si>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</si>
  <si>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</si>
  <si>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</si>
  <si>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</si>
  <si>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</si>
  <si>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</si>
  <si>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</si>
  <si>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</si>
  <si>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</si>
  <si>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</si>
  <si>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</si>
  <si>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</si>
  <si>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</si>
  <si>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</si>
  <si>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</si>
  <si>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</si>
  <si>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</si>
  <si>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</si>
  <si>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</si>
  <si>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</si>
  <si>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</si>
  <si>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</si>
  <si>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</si>
  <si>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</si>
  <si>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</si>
  <si>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</si>
  <si>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</si>
  <si>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</si>
  <si>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</si>
  <si>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</si>
  <si>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</si>
  <si>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</si>
  <si>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</si>
  <si>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</si>
  <si>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</si>
  <si>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</si>
  <si>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</si>
  <si>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</si>
  <si>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</si>
  <si>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</si>
  <si>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</si>
  <si>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</si>
  <si>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</si>
  <si>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</si>
  <si>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</si>
  <si>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</si>
  <si>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</si>
  <si>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</si>
  <si>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</si>
  <si>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</si>
  <si>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</si>
  <si>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</si>
  <si>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</si>
  <si>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</si>
  <si>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</si>
  <si>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</si>
  <si>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</si>
  <si>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</si>
  <si>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</si>
  <si>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</si>
  <si>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</si>
  <si>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</si>
  <si>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</si>
  <si>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</si>
  <si>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</si>
  <si>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</si>
  <si>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</si>
  <si>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</si>
  <si>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</si>
  <si>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</si>
  <si>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</si>
  <si>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</si>
  <si>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</si>
  <si>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</si>
  <si>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</si>
  <si>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</si>
  <si>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</si>
  <si>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</si>
  <si>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</si>
  <si>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</si>
  <si>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</si>
  <si>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</si>
  <si>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</si>
  <si>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</si>
  <si>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</si>
  <si>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</si>
  <si>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</si>
  <si>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</si>
  <si>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</si>
  <si>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</si>
  <si>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</si>
  <si>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</si>
  <si>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</si>
  <si>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</si>
  <si>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</si>
  <si>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</si>
  <si>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</si>
  <si>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</si>
  <si>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</si>
  <si>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</si>
  <si>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</si>
  <si>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</si>
  <si>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</si>
  <si>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</si>
  <si>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</si>
  <si>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</si>
  <si>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</si>
  <si>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</si>
  <si>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</si>
  <si>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</si>
  <si>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</si>
  <si>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</si>
  <si>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</si>
  <si>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</si>
  <si>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</si>
  <si>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</si>
  <si>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</si>
  <si>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</si>
  <si>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</si>
  <si>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</si>
  <si>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</si>
  <si>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</si>
  <si>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</si>
  <si>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</si>
  <si>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</si>
  <si>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</si>
  <si>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</si>
  <si>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</si>
  <si>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</si>
  <si>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</si>
  <si>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</si>
  <si>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</si>
  <si>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</si>
  <si>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</si>
  <si>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</si>
  <si>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</si>
  <si>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</si>
  <si>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</si>
  <si>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</si>
  <si>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</si>
  <si>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</si>
  <si>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</si>
  <si>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</si>
  <si>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</si>
  <si>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</si>
  <si>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</si>
  <si>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</si>
  <si>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</si>
  <si>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</si>
  <si>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</si>
  <si>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</si>
  <si>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</si>
  <si>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</si>
  <si>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</si>
  <si>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</si>
  <si>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</si>
  <si>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</si>
  <si>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</si>
  <si>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</si>
  <si>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</si>
  <si>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</si>
  <si>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</si>
  <si>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</si>
  <si>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</si>
  <si>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</si>
  <si>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</si>
  <si>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</si>
  <si>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</si>
  <si>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</si>
  <si>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</si>
  <si>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</si>
  <si>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</si>
  <si>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</si>
  <si>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</si>
  <si>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</si>
  <si>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</si>
  <si>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</si>
  <si>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</si>
  <si>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</si>
  <si>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</si>
  <si>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</si>
  <si>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</si>
  <si>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</si>
  <si>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</si>
  <si>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</si>
  <si>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</si>
  <si>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</si>
  <si>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</si>
  <si>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</si>
  <si>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</si>
  <si>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</si>
  <si>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</si>
  <si>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</si>
  <si>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</si>
  <si>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</si>
  <si>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</si>
  <si>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</si>
  <si>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</si>
  <si>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</si>
  <si>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</si>
  <si>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</si>
  <si>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</si>
  <si>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</si>
  <si>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</si>
  <si>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</si>
  <si>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</si>
  <si>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</si>
  <si>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</si>
  <si>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</si>
  <si>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</si>
  <si>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</si>
  <si>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</si>
  <si>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</si>
  <si>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</si>
  <si>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</si>
  <si>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</si>
  <si>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</si>
  <si>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</si>
  <si>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</si>
  <si>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</si>
  <si>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</si>
  <si>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</si>
  <si>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</si>
  <si>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</si>
  <si>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</si>
  <si>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</si>
  <si>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</si>
  <si>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</si>
  <si>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</si>
  <si>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</si>
  <si>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</si>
  <si>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</si>
  <si>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</si>
  <si>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</si>
  <si>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</si>
  <si>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</si>
  <si>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</si>
  <si>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</si>
  <si>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</si>
  <si>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</si>
  <si>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</si>
  <si>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</si>
  <si>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</si>
  <si>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</si>
  <si>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</si>
  <si>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</si>
  <si>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</si>
  <si>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</si>
  <si>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</si>
  <si>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</si>
  <si>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</si>
  <si>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</si>
  <si>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</si>
  <si>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</si>
  <si>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</si>
  <si>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</si>
  <si>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</si>
  <si>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</si>
  <si>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</si>
  <si>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</si>
  <si>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</si>
  <si>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</si>
  <si>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</si>
  <si>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</si>
  <si>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</si>
  <si>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</si>
  <si>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</si>
  <si>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</si>
  <si>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</si>
  <si>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</si>
  <si>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</si>
  <si>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</si>
  <si>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</si>
  <si>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</si>
  <si>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</si>
  <si>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</si>
  <si>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</si>
  <si>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</si>
  <si>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</si>
  <si>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</si>
  <si>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</si>
  <si>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</si>
  <si>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</si>
  <si>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</si>
  <si>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</si>
  <si>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</si>
  <si>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</si>
  <si>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</si>
  <si>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</si>
  <si>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</si>
  <si>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</si>
  <si>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</si>
  <si>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</si>
  <si>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</si>
  <si>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</si>
  <si>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</si>
  <si>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</si>
  <si>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</si>
  <si>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</si>
  <si>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</si>
  <si>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</si>
  <si>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</si>
  <si>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</si>
  <si>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</si>
  <si>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</si>
  <si>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</si>
  <si>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</si>
  <si>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</si>
  <si>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</si>
  <si>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</si>
  <si>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</si>
  <si>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</si>
  <si>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</si>
  <si>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</si>
  <si>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</si>
  <si>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</si>
  <si>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</si>
  <si>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</si>
  <si>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</si>
  <si>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</si>
  <si>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</si>
  <si>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</si>
  <si>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</si>
  <si>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</si>
  <si>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</si>
  <si>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</si>
  <si>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</si>
  <si>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</si>
  <si>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</si>
  <si>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</si>
  <si>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</si>
  <si>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</si>
  <si>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Dfff_delivery_order</t>
  </si>
  <si>
    <t>Hour(delivery)</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</si>
  <si>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</si>
  <si>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</si>
  <si>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</si>
  <si>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</si>
  <si>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</si>
  <si>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</si>
  <si>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</si>
  <si>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</si>
  <si>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</si>
  <si>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</si>
  <si>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</si>
  <si>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</si>
  <si>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</si>
  <si>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</si>
  <si>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</si>
  <si>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</si>
  <si>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</si>
  <si>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</si>
  <si>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</si>
  <si>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</si>
  <si>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</si>
  <si>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</si>
  <si>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</si>
  <si>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</si>
  <si>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</si>
  <si>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</si>
  <si>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</si>
  <si>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</si>
  <si>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</si>
  <si>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</si>
  <si>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</si>
  <si>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</si>
  <si>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</si>
  <si>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</si>
  <si>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</si>
  <si>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</si>
  <si>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</si>
  <si>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</si>
  <si>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</si>
  <si>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</si>
  <si>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</si>
  <si>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</si>
  <si>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</si>
  <si>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</si>
  <si>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</si>
  <si>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</si>
  <si>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</si>
  <si>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</si>
  <si>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</si>
  <si>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</si>
  <si>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</si>
  <si>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</si>
  <si>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</si>
  <si>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</si>
  <si>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</si>
  <si>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</si>
  <si>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</si>
  <si>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</si>
  <si>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</si>
  <si>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</si>
  <si>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</si>
  <si>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</si>
  <si>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</si>
  <si>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</si>
  <si>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</si>
  <si>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</si>
  <si>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</si>
  <si>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</si>
  <si>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</si>
  <si>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</si>
  <si>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</si>
  <si>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</si>
  <si>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</si>
  <si>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</si>
  <si>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</si>
  <si>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</si>
  <si>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</si>
  <si>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</si>
  <si>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</si>
  <si>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</si>
  <si>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</si>
  <si>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</si>
  <si>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</si>
  <si>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</si>
  <si>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</si>
  <si>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</si>
  <si>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</si>
  <si>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</si>
  <si>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</si>
  <si>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</si>
  <si>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</si>
  <si>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</si>
  <si>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</si>
  <si>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</si>
  <si>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</si>
  <si>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</si>
  <si>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</si>
  <si>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</si>
  <si>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</si>
  <si>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</si>
  <si>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</si>
  <si>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</si>
  <si>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</si>
  <si>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</si>
  <si>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</si>
  <si>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</si>
  <si>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</si>
  <si>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</si>
  <si>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</si>
  <si>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</si>
  <si>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</si>
  <si>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</si>
  <si>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</si>
  <si>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</si>
  <si>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</si>
  <si>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</si>
  <si>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</si>
  <si>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</si>
  <si>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</si>
  <si>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</si>
  <si>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</si>
  <si>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</si>
  <si>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</si>
  <si>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</si>
  <si>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</si>
  <si>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</si>
  <si>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</si>
  <si>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</si>
  <si>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</si>
  <si>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</si>
  <si>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</si>
  <si>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</si>
  <si>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</si>
  <si>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</si>
  <si>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</si>
  <si>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</si>
  <si>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</si>
  <si>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</si>
  <si>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</si>
  <si>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</si>
  <si>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</si>
  <si>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</si>
  <si>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</si>
  <si>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</si>
  <si>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</si>
  <si>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</si>
  <si>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</si>
  <si>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</si>
  <si>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</si>
  <si>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</si>
  <si>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</si>
  <si>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</si>
  <si>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</si>
  <si>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</si>
  <si>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</si>
  <si>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</si>
  <si>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</si>
  <si>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</si>
  <si>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</si>
  <si>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</si>
  <si>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</si>
  <si>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</si>
  <si>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</si>
  <si>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</si>
  <si>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</si>
  <si>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</si>
  <si>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</si>
  <si>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</si>
  <si>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</si>
  <si>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</si>
  <si>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</si>
  <si>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</si>
  <si>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</si>
  <si>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</si>
  <si>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</si>
  <si>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</si>
  <si>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</si>
  <si>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</si>
  <si>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</si>
  <si>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</si>
  <si>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</si>
  <si>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</si>
  <si>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</si>
  <si>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</si>
  <si>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</si>
  <si>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</si>
  <si>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</si>
  <si>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</si>
  <si>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</si>
  <si>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</si>
  <si>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</si>
  <si>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</si>
  <si>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</si>
  <si>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</si>
  <si>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</si>
  <si>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</si>
  <si>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</si>
  <si>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</si>
  <si>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</si>
  <si>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</si>
  <si>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</si>
  <si>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</si>
  <si>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</si>
  <si>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</si>
  <si>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</si>
  <si>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</si>
  <si>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</si>
  <si>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</si>
  <si>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</si>
  <si>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</si>
  <si>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</si>
  <si>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</si>
  <si>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</si>
  <si>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</si>
  <si>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</si>
  <si>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</si>
  <si>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</si>
  <si>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</si>
  <si>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</si>
  <si>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</si>
  <si>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</si>
  <si>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</si>
  <si>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</si>
  <si>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</si>
  <si>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</si>
  <si>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</si>
  <si>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</si>
  <si>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</si>
  <si>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</si>
  <si>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</si>
  <si>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</si>
  <si>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</si>
  <si>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</si>
  <si>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</si>
  <si>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</si>
  <si>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</si>
  <si>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</si>
  <si>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</si>
  <si>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</si>
  <si>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</si>
  <si>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</si>
  <si>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</si>
  <si>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</si>
  <si>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</si>
  <si>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</si>
  <si>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</si>
  <si>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</si>
  <si>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</si>
  <si>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</si>
  <si>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</si>
  <si>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</si>
  <si>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</si>
  <si>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</si>
  <si>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</si>
  <si>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</si>
  <si>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</si>
  <si>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</si>
  <si>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</si>
  <si>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</si>
  <si>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</si>
  <si>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</si>
  <si>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</si>
  <si>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</si>
  <si>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</si>
  <si>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</si>
  <si>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</si>
  <si>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</si>
  <si>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</si>
  <si>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</si>
  <si>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</si>
  <si>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</si>
  <si>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</si>
  <si>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</si>
  <si>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</si>
  <si>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</si>
  <si>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</si>
  <si>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</si>
  <si>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</si>
  <si>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</si>
  <si>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</si>
  <si>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</si>
  <si>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</si>
  <si>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</si>
  <si>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</si>
  <si>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</si>
  <si>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</si>
  <si>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</si>
  <si>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</si>
  <si>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</si>
  <si>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</si>
  <si>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</si>
  <si>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</si>
  <si>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</si>
  <si>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</si>
  <si>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</si>
  <si>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</si>
  <si>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</si>
  <si>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</si>
  <si>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</si>
  <si>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</si>
  <si>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</si>
  <si>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</si>
  <si>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</si>
  <si>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</si>
  <si>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</si>
  <si>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</si>
  <si>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</si>
  <si>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</si>
  <si>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</si>
  <si>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</si>
  <si>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</si>
  <si>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</si>
  <si>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</si>
  <si>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</si>
  <si>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</si>
  <si>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</si>
  <si>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</si>
  <si>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</si>
  <si>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Of Order</t>
  </si>
  <si>
    <t>Saturday</t>
  </si>
  <si>
    <t>Wednesday</t>
  </si>
  <si>
    <t>Friday</t>
  </si>
  <si>
    <t>Sunday</t>
  </si>
  <si>
    <t>Monday</t>
  </si>
  <si>
    <t>Tuesday</t>
  </si>
  <si>
    <t>Thursday</t>
  </si>
  <si>
    <t>Sum of Revenue</t>
  </si>
  <si>
    <t>Average of Dfff_delivery_order</t>
  </si>
  <si>
    <t>Average of Revenue</t>
  </si>
  <si>
    <t>Count of Order_ID</t>
  </si>
  <si>
    <t>Excel Project.xlsx</t>
  </si>
  <si>
    <t>.xlsx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</si>
</sst>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F400]h:mm:ss\ AM/PM"/>
    <numFmt numFmtId="165" formatCode="_([$$-409]* #,##0.00_);_([$$-409]* \(#,##0.00\);_([$$-409]* &quot;-&quot;??_);_(@_)"/>
    <numFmt numFmtId="171" formatCode="\$0.0,,&quot;M&quot;"/>
    <numFmt numFmtId="173" formatCode="\1\K"/>
    <numFmt numFmtId="175" formatCode="\$0.0,&quot;K&quot;"/>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171" fontId="0" fillId="0" borderId="0" xfId="0" applyNumberFormat="1"/>
    <xf numFmtId="173" fontId="0" fillId="0" borderId="0" xfId="0" applyNumberFormat="1"/>
    <xf numFmtId="175" fontId="0" fillId="0" borderId="0" xfId="0" applyNumberFormat="1"/>
  </cellXfs>
  <cellStyles count="1">
    <cellStyle name="Normal" xfId="0" builtinId="0"/>
  </cellStyles>
  <dxfs count="68">
    <dxf>
      <numFmt numFmtId="165" formatCode="_([$$-409]* #,##0.00_);_([$$-409]* \(#,##0.00\);_([$$-409]* &quot;-&quot;??_);_(@_)"/>
    </dxf>
    <dxf>
      <numFmt numFmtId="175" formatCode="\$0.0,&quot;K&quot;"/>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71" formatCode="\$0.0,,&quot;M&quot;"/>
    </dxf>
    <dxf>
      <numFmt numFmtId="173" formatCode="\1\K"/>
    </dxf>
    <dxf>
      <numFmt numFmtId="165" formatCode="_([$$-409]* #,##0.00_);_([$$-409]* \(#,##0.00\);_([$$-409]* &quot;-&quot;??_);_(@_)"/>
    </dxf>
    <dxf>
      <numFmt numFmtId="165" formatCode="_([$$-409]* #,##0.00_);_([$$-409]* \(#,##0.00\);_([$$-409]* &quot;-&quot;??_);_(@_)"/>
    </dxf>
    <dxf>
      <numFmt numFmtId="165" formatCode="_([$$-409]* #,##0.00_);_([$$-409]* \(#,##0.00\);_([$$-409]* &quot;-&quot;??_);_(@_)"/>
    </dxf>
    <dxf>
      <numFmt numFmtId="175" formatCode="\$0.0,&quot;K&quot;"/>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71" formatCode="\$0.0,,&quot;M&quot;"/>
    </dxf>
    <dxf>
      <numFmt numFmtId="173" formatCode="\1\K"/>
    </dxf>
    <dxf>
      <numFmt numFmtId="165" formatCode="_([$$-409]* #,##0.00_);_([$$-409]* \(#,##0.00\);_([$$-409]* &quot;-&quot;??_);_(@_)"/>
    </dxf>
    <dxf>
      <numFmt numFmtId="165" formatCode="_([$$-409]* #,##0.00_);_([$$-409]* \(#,##0.00\);_([$$-409]* &quot;-&quot;??_);_(@_)"/>
    </dxf>
    <dxf>
      <numFmt numFmtId="165" formatCode="_([$$-409]* #,##0.00_);_([$$-409]* \(#,##0.00\);_([$$-409]* &quot;-&quot;??_);_(@_)"/>
    </dxf>
    <dxf>
      <numFmt numFmtId="175" formatCode="\$0.0,&quot;K&quot;"/>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71" formatCode="\$0.0,,&quot;M&quot;"/>
    </dxf>
    <dxf>
      <numFmt numFmtId="173" formatCode="\1\K"/>
    </dxf>
    <dxf>
      <numFmt numFmtId="165" formatCode="_([$$-409]* #,##0.00_);_([$$-409]* \(#,##0.00\);_([$$-409]* &quot;-&quot;??_);_(@_)"/>
    </dxf>
    <dxf>
      <numFmt numFmtId="165" formatCode="_([$$-409]* #,##0.00_);_([$$-409]* \(#,##0.00\);_([$$-409]* &quot;-&quot;??_);_(@_)"/>
    </dxf>
    <dxf>
      <numFmt numFmtId="175" formatCode="\$0.0,&quot;K&quot;"/>
    </dxf>
    <dxf>
      <numFmt numFmtId="173" formatCode="\1\K"/>
    </dxf>
    <dxf>
      <numFmt numFmtId="164" formatCode="[$-F400]h:mm:ss\ AM/PM"/>
    </dxf>
    <dxf>
      <numFmt numFmtId="19" formatCode="yyyy/mm/dd"/>
    </dxf>
    <dxf>
      <numFmt numFmtId="164" formatCode="[$-F400]h:mm:ss\ AM/PM"/>
    </dxf>
    <dxf>
      <numFmt numFmtId="19" formatCode="yyyy/mm/dd"/>
    </dxf>
    <dxf>
      <numFmt numFmtId="0" formatCode="General"/>
    </dxf>
    <dxf>
      <numFmt numFmtId="27" formatCode="yyyy/mm/dd\ h:mm"/>
    </dxf>
    <dxf>
      <numFmt numFmtId="27" formatCode="yyyy/mm/dd\ h:mm"/>
    </dxf>
    <dxf>
      <numFmt numFmtId="27" formatCode="yyyy/mm/dd\ h:mm"/>
    </dxf>
    <dxf>
      <numFmt numFmtId="0" formatCode="General"/>
    </dxf>
    <dxf>
      <numFmt numFmtId="0" formatCode="General"/>
    </dxf>
    <dxf>
      <numFmt numFmtId="171" formatCode="\$0.0,,&quot;M&quot;"/>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5F8D72F5-8CB1-4EE1-8545-196C029E4AD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Project.xlsx]Sheet2!PivotTable5</c:name>
    <c:fmtId val="3"/>
  </c:pivotSource>
  <c:chart>
    <c:title>
      <c:tx>
        <c:rich>
          <a:bodyPr rot="0" spcFirstLastPara="1" vertOverflow="ellipsis" vert="horz" wrap="square" anchor="ctr" anchorCtr="1"/>
          <a:lstStyle/>
          <a:p>
            <a:pPr>
              <a:defRPr sz="1800" b="1" i="0" u="none" strike="noStrike" kern="1200" cap="all" spc="150" baseline="0">
                <a:solidFill>
                  <a:schemeClr val="tx2">
                    <a:lumMod val="90000"/>
                    <a:lumOff val="10000"/>
                  </a:schemeClr>
                </a:solidFill>
                <a:latin typeface="+mn-lt"/>
                <a:ea typeface="+mn-ea"/>
                <a:cs typeface="+mn-cs"/>
              </a:defRPr>
            </a:pPr>
            <a:r>
              <a:rPr lang="en-US">
                <a:solidFill>
                  <a:schemeClr val="tx2">
                    <a:lumMod val="90000"/>
                    <a:lumOff val="10000"/>
                  </a:schemeClr>
                </a:solidFill>
              </a:rPr>
              <a:t>Revenue By Product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2">
                  <a:lumMod val="90000"/>
                  <a:lumOff val="1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Sheet2!$F$5</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Sheet2!$E$6:$E$11</c:f>
              <c:strCache>
                <c:ptCount val="5"/>
                <c:pt idx="0">
                  <c:v>Deserunt Box</c:v>
                </c:pt>
                <c:pt idx="1">
                  <c:v>Dolores Gift</c:v>
                </c:pt>
                <c:pt idx="2">
                  <c:v>Harum Pack</c:v>
                </c:pt>
                <c:pt idx="3">
                  <c:v>Magnam Set</c:v>
                </c:pt>
                <c:pt idx="4">
                  <c:v>Quia Gift</c:v>
                </c:pt>
              </c:strCache>
            </c:strRef>
          </c:cat>
          <c:val>
            <c:numRef>
              <c:f>Sheet2!$F$6:$F$11</c:f>
              <c:numCache>
                <c:formatCode>_([$$-409]* #,##0.00_);_([$$-409]* \(#,##0.00\);_([$$-409]* "-"??_);_(@_)</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241A-40D3-9A66-1091C38C7A6E}"/>
            </c:ext>
          </c:extLst>
        </c:ser>
        <c:dLbls>
          <c:dLblPos val="outEnd"/>
          <c:showLegendKey val="0"/>
          <c:showVal val="1"/>
          <c:showCatName val="0"/>
          <c:showSerName val="0"/>
          <c:showPercent val="0"/>
          <c:showBubbleSize val="0"/>
        </c:dLbls>
        <c:gapWidth val="164"/>
        <c:overlap val="-22"/>
        <c:axId val="625009455"/>
        <c:axId val="625009935"/>
      </c:barChart>
      <c:catAx>
        <c:axId val="62500945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625009935"/>
        <c:crosses val="autoZero"/>
        <c:auto val="1"/>
        <c:lblAlgn val="ctr"/>
        <c:lblOffset val="100"/>
        <c:noMultiLvlLbl val="0"/>
      </c:catAx>
      <c:valAx>
        <c:axId val="62500993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62500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Project.xlsx]Sheet2!PivotTable7</c:name>
    <c:fmtId val="5"/>
  </c:pivotSource>
  <c:chart>
    <c:title>
      <c:tx>
        <c:rich>
          <a:bodyPr rot="0" spcFirstLastPara="1" vertOverflow="ellipsis" vert="horz" wrap="square" anchor="ctr" anchorCtr="1"/>
          <a:lstStyle/>
          <a:p>
            <a:pPr>
              <a:defRPr sz="1600" b="1" i="0" u="none" strike="noStrike" kern="1200" baseline="0">
                <a:solidFill>
                  <a:schemeClr val="tx2">
                    <a:lumMod val="90000"/>
                    <a:lumOff val="10000"/>
                  </a:schemeClr>
                </a:solidFill>
                <a:latin typeface="+mn-lt"/>
                <a:ea typeface="+mn-ea"/>
                <a:cs typeface="+mn-cs"/>
              </a:defRPr>
            </a:pPr>
            <a:r>
              <a:rPr lang="en-US">
                <a:solidFill>
                  <a:schemeClr val="tx2">
                    <a:lumMod val="90000"/>
                    <a:lumOff val="10000"/>
                  </a:schemeClr>
                </a:solidFill>
              </a:rPr>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90000"/>
                  <a:lumOff val="1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solidFill>
              <a:schemeClr val="tx2">
                <a:lumMod val="90000"/>
                <a:lumOff val="10000"/>
              </a:schemeClr>
            </a:solid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Sheet2!$I$5</c:f>
              <c:strCache>
                <c:ptCount val="1"/>
                <c:pt idx="0">
                  <c:v>Total</c:v>
                </c:pt>
              </c:strCache>
            </c:strRef>
          </c:tx>
          <c:spPr>
            <a:solidFill>
              <a:schemeClr val="tx2">
                <a:lumMod val="90000"/>
                <a:lumOff val="10000"/>
              </a:schemeClr>
            </a:solidFill>
            <a:ln>
              <a:solidFill>
                <a:schemeClr val="tx2">
                  <a:lumMod val="90000"/>
                  <a:lumOff val="10000"/>
                </a:schemeClr>
              </a:solidFill>
            </a:ln>
            <a:effectLst>
              <a:outerShdw blurRad="57150" dist="19050" dir="5400000" algn="ctr" rotWithShape="0">
                <a:srgbClr val="000000">
                  <a:alpha val="63000"/>
                </a:srgbClr>
              </a:outerShdw>
            </a:effectLst>
          </c:spPr>
          <c:invertIfNegative val="0"/>
          <c:cat>
            <c:strRef>
              <c:f>Sheet2!$H$6:$H$13</c:f>
              <c:strCache>
                <c:ptCount val="7"/>
                <c:pt idx="0">
                  <c:v>Cake</c:v>
                </c:pt>
                <c:pt idx="1">
                  <c:v>Colors</c:v>
                </c:pt>
                <c:pt idx="2">
                  <c:v>Mugs</c:v>
                </c:pt>
                <c:pt idx="3">
                  <c:v>Plants</c:v>
                </c:pt>
                <c:pt idx="4">
                  <c:v>Raksha Bandhan</c:v>
                </c:pt>
                <c:pt idx="5">
                  <c:v>Soft Toys</c:v>
                </c:pt>
                <c:pt idx="6">
                  <c:v>Sweets</c:v>
                </c:pt>
              </c:strCache>
            </c:strRef>
          </c:cat>
          <c:val>
            <c:numRef>
              <c:f>Sheet2!$I$6:$I$13</c:f>
              <c:numCache>
                <c:formatCode>_([$$-409]* #,##0.00_);_([$$-409]* \(#,##0.00\);_([$$-409]* "-"??_);_(@_)</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5243-453B-A5B0-CEC44735F1CB}"/>
            </c:ext>
          </c:extLst>
        </c:ser>
        <c:dLbls>
          <c:showLegendKey val="0"/>
          <c:showVal val="0"/>
          <c:showCatName val="0"/>
          <c:showSerName val="0"/>
          <c:showPercent val="0"/>
          <c:showBubbleSize val="0"/>
        </c:dLbls>
        <c:gapWidth val="100"/>
        <c:overlap val="-24"/>
        <c:axId val="1908074639"/>
        <c:axId val="1908075599"/>
      </c:barChart>
      <c:catAx>
        <c:axId val="19080746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1908075599"/>
        <c:crosses val="autoZero"/>
        <c:auto val="1"/>
        <c:lblAlgn val="ctr"/>
        <c:lblOffset val="100"/>
        <c:noMultiLvlLbl val="0"/>
      </c:catAx>
      <c:valAx>
        <c:axId val="1908075599"/>
        <c:scaling>
          <c:orientation val="minMax"/>
        </c:scaling>
        <c:delete val="0"/>
        <c:axPos val="l"/>
        <c:majorGridlines>
          <c:spPr>
            <a:ln w="9525" cap="flat" cmpd="sng" algn="ctr">
              <a:no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190807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Project.xlsx]Sheet2!PivotTable9</c:name>
    <c:fmtId val="4"/>
  </c:pivotSource>
  <c:chart>
    <c:title>
      <c:tx>
        <c:rich>
          <a:bodyPr rot="0" spcFirstLastPara="1" vertOverflow="ellipsis" vert="horz" wrap="square" anchor="ctr" anchorCtr="1"/>
          <a:lstStyle/>
          <a:p>
            <a:pPr>
              <a:defRPr sz="1600" b="1" i="0" u="none" strike="noStrike" kern="1200" baseline="0">
                <a:solidFill>
                  <a:schemeClr val="tx2">
                    <a:lumMod val="90000"/>
                    <a:lumOff val="10000"/>
                  </a:schemeClr>
                </a:solidFill>
                <a:latin typeface="+mn-lt"/>
                <a:ea typeface="+mn-ea"/>
                <a:cs typeface="+mn-cs"/>
              </a:defRPr>
            </a:pPr>
            <a:r>
              <a:rPr lang="en-US">
                <a:solidFill>
                  <a:schemeClr val="tx2">
                    <a:lumMod val="90000"/>
                    <a:lumOff val="10000"/>
                  </a:schemeClr>
                </a:solidFill>
              </a:rPr>
              <a:t>Revenue By Occasion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90000"/>
                  <a:lumOff val="1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solidFill>
              <a:schemeClr val="tx2">
                <a:lumMod val="90000"/>
                <a:lumOff val="10000"/>
              </a:schemeClr>
            </a:solid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Sheet2!$I$15</c:f>
              <c:strCache>
                <c:ptCount val="1"/>
                <c:pt idx="0">
                  <c:v>Total</c:v>
                </c:pt>
              </c:strCache>
            </c:strRef>
          </c:tx>
          <c:spPr>
            <a:solidFill>
              <a:schemeClr val="tx2">
                <a:lumMod val="90000"/>
                <a:lumOff val="10000"/>
              </a:schemeClr>
            </a:solidFill>
            <a:ln>
              <a:solidFill>
                <a:schemeClr val="tx2">
                  <a:lumMod val="90000"/>
                  <a:lumOff val="10000"/>
                </a:schemeClr>
              </a:solidFill>
            </a:ln>
            <a:effectLst>
              <a:outerShdw blurRad="57150" dist="19050" dir="5400000" algn="ctr" rotWithShape="0">
                <a:srgbClr val="000000">
                  <a:alpha val="63000"/>
                </a:srgbClr>
              </a:outerShdw>
            </a:effectLst>
          </c:spPr>
          <c:invertIfNegative val="0"/>
          <c:cat>
            <c:strRef>
              <c:f>Sheet2!$H$16:$H$23</c:f>
              <c:strCache>
                <c:ptCount val="7"/>
                <c:pt idx="0">
                  <c:v>All Occasions</c:v>
                </c:pt>
                <c:pt idx="1">
                  <c:v>Anniversary</c:v>
                </c:pt>
                <c:pt idx="2">
                  <c:v>Birthday</c:v>
                </c:pt>
                <c:pt idx="3">
                  <c:v>Diwali</c:v>
                </c:pt>
                <c:pt idx="4">
                  <c:v>Holi</c:v>
                </c:pt>
                <c:pt idx="5">
                  <c:v>Raksha Bandhan</c:v>
                </c:pt>
                <c:pt idx="6">
                  <c:v>Valentine's Day</c:v>
                </c:pt>
              </c:strCache>
            </c:strRef>
          </c:cat>
          <c:val>
            <c:numRef>
              <c:f>Sheet2!$I$16:$I$23</c:f>
              <c:numCache>
                <c:formatCode>_([$$-409]* #,##0.00_);_([$$-409]* \(#,##0.00\);_([$$-409]* "-"??_);_(@_)</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119-4F2E-9F40-1B4DF5CB49FB}"/>
            </c:ext>
          </c:extLst>
        </c:ser>
        <c:dLbls>
          <c:showLegendKey val="0"/>
          <c:showVal val="0"/>
          <c:showCatName val="0"/>
          <c:showSerName val="0"/>
          <c:showPercent val="0"/>
          <c:showBubbleSize val="0"/>
        </c:dLbls>
        <c:gapWidth val="100"/>
        <c:overlap val="-24"/>
        <c:axId val="1286762671"/>
        <c:axId val="1286763151"/>
      </c:barChart>
      <c:catAx>
        <c:axId val="12867626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1286763151"/>
        <c:crosses val="autoZero"/>
        <c:auto val="1"/>
        <c:lblAlgn val="ctr"/>
        <c:lblOffset val="100"/>
        <c:noMultiLvlLbl val="0"/>
      </c:catAx>
      <c:valAx>
        <c:axId val="1286763151"/>
        <c:scaling>
          <c:orientation val="minMax"/>
        </c:scaling>
        <c:delete val="0"/>
        <c:axPos val="l"/>
        <c:majorGridlines>
          <c:spPr>
            <a:ln w="9525" cap="flat" cmpd="sng" algn="ctr">
              <a:no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128676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Project.xlsx]Sheet2!PivotTable10</c:name>
    <c:fmtId val="3"/>
  </c:pivotSource>
  <c:chart>
    <c:title>
      <c:tx>
        <c:rich>
          <a:bodyPr rot="0" spcFirstLastPara="1" vertOverflow="ellipsis" vert="horz" wrap="square" anchor="ctr" anchorCtr="1"/>
          <a:lstStyle/>
          <a:p>
            <a:pPr>
              <a:defRPr sz="1600" b="1" i="0" u="none" strike="noStrike" kern="1200" baseline="0">
                <a:solidFill>
                  <a:schemeClr val="tx2">
                    <a:lumMod val="90000"/>
                    <a:lumOff val="10000"/>
                  </a:schemeClr>
                </a:solidFill>
                <a:latin typeface="+mn-lt"/>
                <a:ea typeface="+mn-ea"/>
                <a:cs typeface="+mn-cs"/>
              </a:defRPr>
            </a:pPr>
            <a:r>
              <a:rPr lang="en-US">
                <a:solidFill>
                  <a:schemeClr val="tx2">
                    <a:lumMod val="90000"/>
                    <a:lumOff val="10000"/>
                  </a:schemeClr>
                </a:solidFill>
              </a:rPr>
              <a:t>Revenue By Hour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90000"/>
                  <a:lumOff val="1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tx2">
                <a:lumMod val="90000"/>
                <a:lumOff val="10000"/>
              </a:schemeClr>
            </a:solidFill>
            <a:round/>
          </a:ln>
          <a:effectLst>
            <a:outerShdw blurRad="57150" dist="19050" dir="5400000" algn="ctr" rotWithShape="0">
              <a:srgbClr val="000000">
                <a:alpha val="63000"/>
              </a:srgbClr>
            </a:outerShdw>
          </a:effectLst>
        </c:spPr>
        <c:marker>
          <c:symbol val="circle"/>
          <c:size val="6"/>
          <c:spPr>
            <a:solidFill>
              <a:schemeClr val="tx2">
                <a:lumMod val="50000"/>
                <a:lumOff val="50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Sheet2!$D$25</c:f>
              <c:strCache>
                <c:ptCount val="1"/>
                <c:pt idx="0">
                  <c:v>Total</c:v>
                </c:pt>
              </c:strCache>
            </c:strRef>
          </c:tx>
          <c:spPr>
            <a:ln w="34925" cap="rnd">
              <a:solidFill>
                <a:schemeClr val="tx2">
                  <a:lumMod val="90000"/>
                  <a:lumOff val="10000"/>
                </a:schemeClr>
              </a:solidFill>
              <a:round/>
            </a:ln>
            <a:effectLst>
              <a:outerShdw blurRad="57150" dist="19050" dir="5400000" algn="ctr" rotWithShape="0">
                <a:srgbClr val="000000">
                  <a:alpha val="63000"/>
                </a:srgbClr>
              </a:outerShdw>
            </a:effectLst>
          </c:spPr>
          <c:marker>
            <c:symbol val="circle"/>
            <c:size val="6"/>
            <c:spPr>
              <a:solidFill>
                <a:schemeClr val="tx2">
                  <a:lumMod val="50000"/>
                  <a:lumOff val="50000"/>
                </a:schemeClr>
              </a:solidFill>
              <a:ln w="9525">
                <a:solidFill>
                  <a:schemeClr val="accent1"/>
                </a:solidFill>
                <a:round/>
              </a:ln>
              <a:effectLst>
                <a:outerShdw blurRad="57150" dist="19050" dir="5400000" algn="ctr" rotWithShape="0">
                  <a:srgbClr val="000000">
                    <a:alpha val="63000"/>
                  </a:srgbClr>
                </a:outerShdw>
              </a:effectLst>
            </c:spPr>
          </c:marker>
          <c:cat>
            <c:strRef>
              <c:f>Sheet2!$C$26:$C$36</c:f>
              <c:strCache>
                <c:ptCount val="10"/>
                <c:pt idx="0">
                  <c:v>5</c:v>
                </c:pt>
                <c:pt idx="1">
                  <c:v>6</c:v>
                </c:pt>
                <c:pt idx="2">
                  <c:v>12</c:v>
                </c:pt>
                <c:pt idx="3">
                  <c:v>15</c:v>
                </c:pt>
                <c:pt idx="4">
                  <c:v>17</c:v>
                </c:pt>
                <c:pt idx="5">
                  <c:v>18</c:v>
                </c:pt>
                <c:pt idx="6">
                  <c:v>19</c:v>
                </c:pt>
                <c:pt idx="7">
                  <c:v>20</c:v>
                </c:pt>
                <c:pt idx="8">
                  <c:v>21</c:v>
                </c:pt>
                <c:pt idx="9">
                  <c:v>23</c:v>
                </c:pt>
              </c:strCache>
            </c:strRef>
          </c:cat>
          <c:val>
            <c:numRef>
              <c:f>Sheet2!$D$26:$D$36</c:f>
              <c:numCache>
                <c:formatCode>_([$$-409]* #,##0.00_);_([$$-409]* \(#,##0.00\);_([$$-409]* "-"??_);_(@_)</c:formatCode>
                <c:ptCount val="10"/>
                <c:pt idx="0">
                  <c:v>156198</c:v>
                </c:pt>
                <c:pt idx="1">
                  <c:v>177211</c:v>
                </c:pt>
                <c:pt idx="2">
                  <c:v>162394</c:v>
                </c:pt>
                <c:pt idx="3">
                  <c:v>163586</c:v>
                </c:pt>
                <c:pt idx="4">
                  <c:v>155373</c:v>
                </c:pt>
                <c:pt idx="5">
                  <c:v>173118</c:v>
                </c:pt>
                <c:pt idx="6">
                  <c:v>185771</c:v>
                </c:pt>
                <c:pt idx="7">
                  <c:v>186426</c:v>
                </c:pt>
                <c:pt idx="8">
                  <c:v>155466</c:v>
                </c:pt>
                <c:pt idx="9">
                  <c:v>168511</c:v>
                </c:pt>
              </c:numCache>
            </c:numRef>
          </c:val>
          <c:smooth val="0"/>
          <c:extLst>
            <c:ext xmlns:c16="http://schemas.microsoft.com/office/drawing/2014/chart" uri="{C3380CC4-5D6E-409C-BE32-E72D297353CC}">
              <c16:uniqueId val="{00000000-09F6-4BBC-83FA-02E7078BF361}"/>
            </c:ext>
          </c:extLst>
        </c:ser>
        <c:dLbls>
          <c:showLegendKey val="0"/>
          <c:showVal val="0"/>
          <c:showCatName val="0"/>
          <c:showSerName val="0"/>
          <c:showPercent val="0"/>
          <c:showBubbleSize val="0"/>
        </c:dLbls>
        <c:marker val="1"/>
        <c:smooth val="0"/>
        <c:axId val="683688527"/>
        <c:axId val="692903919"/>
      </c:lineChart>
      <c:catAx>
        <c:axId val="683688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692903919"/>
        <c:crosses val="autoZero"/>
        <c:auto val="1"/>
        <c:lblAlgn val="ctr"/>
        <c:lblOffset val="100"/>
        <c:noMultiLvlLbl val="0"/>
      </c:catAx>
      <c:valAx>
        <c:axId val="692903919"/>
        <c:scaling>
          <c:orientation val="minMax"/>
        </c:scaling>
        <c:delete val="0"/>
        <c:axPos val="l"/>
        <c:majorGridlines>
          <c:spPr>
            <a:ln w="9525" cap="flat" cmpd="sng" algn="ctr">
              <a:no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68368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Project.xlsx]Sheet2!PivotTable4</c:name>
    <c:fmtId val="4"/>
  </c:pivotSource>
  <c:chart>
    <c:title>
      <c:tx>
        <c:rich>
          <a:bodyPr rot="0" spcFirstLastPara="1" vertOverflow="ellipsis" vert="horz" wrap="square" anchor="ctr" anchorCtr="1"/>
          <a:lstStyle/>
          <a:p>
            <a:pPr>
              <a:defRPr sz="1800" b="1" i="0" u="none" strike="noStrike" kern="1200" cap="all" spc="150" baseline="0">
                <a:solidFill>
                  <a:schemeClr val="tx2">
                    <a:lumMod val="90000"/>
                    <a:lumOff val="10000"/>
                  </a:schemeClr>
                </a:solidFill>
                <a:latin typeface="+mn-lt"/>
                <a:ea typeface="+mn-ea"/>
                <a:cs typeface="+mn-cs"/>
              </a:defRPr>
            </a:pPr>
            <a:r>
              <a:rPr lang="en-US">
                <a:solidFill>
                  <a:schemeClr val="tx2">
                    <a:lumMod val="90000"/>
                    <a:lumOff val="10000"/>
                  </a:schemeClr>
                </a:solidFill>
              </a:rPr>
              <a:t>Revenue By Month</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2">
                  <a:lumMod val="90000"/>
                  <a:lumOff val="1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8100" cap="flat" cmpd="dbl" algn="ctr">
            <a:solidFill>
              <a:schemeClr val="tx2">
                <a:lumMod val="90000"/>
                <a:lumOff val="10000"/>
              </a:schemeClr>
            </a:solidFill>
            <a:miter lim="800000"/>
          </a:ln>
          <a:effectLst/>
        </c:spPr>
        <c:marker>
          <c:symbol val="circle"/>
          <c:size val="6"/>
          <c:spPr>
            <a:solidFill>
              <a:schemeClr val="tx2">
                <a:lumMod val="90000"/>
                <a:lumOff val="10000"/>
              </a:schemeClr>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Sheet2!$C$5</c:f>
              <c:strCache>
                <c:ptCount val="1"/>
                <c:pt idx="0">
                  <c:v>Total</c:v>
                </c:pt>
              </c:strCache>
            </c:strRef>
          </c:tx>
          <c:spPr>
            <a:ln w="38100" cap="flat" cmpd="dbl" algn="ctr">
              <a:solidFill>
                <a:schemeClr val="tx2">
                  <a:lumMod val="90000"/>
                  <a:lumOff val="10000"/>
                </a:schemeClr>
              </a:solidFill>
              <a:miter lim="800000"/>
            </a:ln>
            <a:effectLst/>
          </c:spPr>
          <c:marker>
            <c:symbol val="circle"/>
            <c:size val="6"/>
            <c:spPr>
              <a:solidFill>
                <a:schemeClr val="tx2">
                  <a:lumMod val="90000"/>
                  <a:lumOff val="10000"/>
                </a:schemeClr>
              </a:solidFill>
              <a:ln w="9525" cap="flat" cmpd="sng" algn="ctr">
                <a:solidFill>
                  <a:schemeClr val="lt1"/>
                </a:solidFill>
                <a:round/>
              </a:ln>
              <a:effectLst/>
            </c:spPr>
          </c:marker>
          <c:cat>
            <c:strRef>
              <c:f>Sheet2!$B$6:$B$18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Sheet2!$C$6:$C$18</c:f>
              <c:numCache>
                <c:formatCode>_([$$-409]* #,##0.00_);_([$$-409]* \(#,##0.00\);_([$$-409]* "-"??_);_(@_)</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0B9-4085-8F34-6FD61795819A}"/>
            </c:ext>
          </c:extLst>
        </c:ser>
        <c:dLbls>
          <c:showLegendKey val="0"/>
          <c:showVal val="0"/>
          <c:showCatName val="0"/>
          <c:showSerName val="0"/>
          <c:showPercent val="0"/>
          <c:showBubbleSize val="0"/>
        </c:dLbls>
        <c:marker val="1"/>
        <c:smooth val="0"/>
        <c:axId val="937657999"/>
        <c:axId val="937658959"/>
      </c:lineChart>
      <c:catAx>
        <c:axId val="93765799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937658959"/>
        <c:crosses val="autoZero"/>
        <c:auto val="1"/>
        <c:lblAlgn val="ctr"/>
        <c:lblOffset val="100"/>
        <c:noMultiLvlLbl val="0"/>
      </c:catAx>
      <c:valAx>
        <c:axId val="937658959"/>
        <c:scaling>
          <c:orientation val="minMax"/>
        </c:scaling>
        <c:delete val="0"/>
        <c:axPos val="l"/>
        <c:majorGridlines>
          <c:spPr>
            <a:ln w="9525" cap="flat" cmpd="sng" algn="ctr">
              <a:noFill/>
              <a:round/>
            </a:ln>
            <a:effectLst/>
          </c:spPr>
        </c:majorGridlines>
        <c:numFmt formatCode="\$0,&quot;K&quot;" sourceLinked="0"/>
        <c:majorTickMark val="none"/>
        <c:minorTickMark val="none"/>
        <c:tickLblPos val="nextTo"/>
        <c:spPr>
          <a:noFill/>
          <a:ln w="3175" cap="flat" cmpd="sng" algn="ctr">
            <a:solidFill>
              <a:schemeClr val="tx1">
                <a:lumMod val="15000"/>
                <a:lumOff val="85000"/>
              </a:schemeClr>
            </a:solidFill>
            <a:round/>
            <a:tailEnd type="none" w="med" len="lg"/>
          </a:ln>
          <a:effectLst/>
        </c:spPr>
        <c:txPr>
          <a:bodyPr rot="0" spcFirstLastPara="1" vertOverflow="ellipsis"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93765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Project.xlsx]Sheet2!PivotTable8</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2">
                    <a:lumMod val="90000"/>
                    <a:lumOff val="10000"/>
                  </a:schemeClr>
                </a:solidFill>
                <a:latin typeface="+mn-lt"/>
                <a:ea typeface="+mn-ea"/>
                <a:cs typeface="+mn-cs"/>
              </a:defRPr>
            </a:pPr>
            <a:r>
              <a:rPr lang="en-US">
                <a:solidFill>
                  <a:schemeClr val="tx2">
                    <a:lumMod val="90000"/>
                    <a:lumOff val="10000"/>
                  </a:schemeClr>
                </a:solidFill>
              </a:rPr>
              <a:t>Orders By Location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2">
                  <a:lumMod val="90000"/>
                  <a:lumOff val="1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solidFill>
              <a:schemeClr val="tx2">
                <a:lumMod val="90000"/>
                <a:lumOff val="10000"/>
              </a:schemeClr>
            </a:solid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Sheet2!$F$13</c:f>
              <c:strCache>
                <c:ptCount val="1"/>
                <c:pt idx="0">
                  <c:v>Total</c:v>
                </c:pt>
              </c:strCache>
            </c:strRef>
          </c:tx>
          <c:spPr>
            <a:solidFill>
              <a:schemeClr val="tx2">
                <a:lumMod val="90000"/>
                <a:lumOff val="10000"/>
              </a:schemeClr>
            </a:solidFill>
            <a:ln>
              <a:solidFill>
                <a:schemeClr val="tx2">
                  <a:lumMod val="90000"/>
                  <a:lumOff val="10000"/>
                </a:schemeClr>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2">
                        <a:lumMod val="90000"/>
                        <a:lumOff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Sheet2!$E$14:$E$24</c:f>
              <c:strCache>
                <c:ptCount val="10"/>
                <c:pt idx="0">
                  <c:v>Bareilly</c:v>
                </c:pt>
                <c:pt idx="1">
                  <c:v>Alwar</c:v>
                </c:pt>
                <c:pt idx="2">
                  <c:v>Bhilai</c:v>
                </c:pt>
                <c:pt idx="3">
                  <c:v>Bulandshahr</c:v>
                </c:pt>
                <c:pt idx="4">
                  <c:v>Darbhanga</c:v>
                </c:pt>
                <c:pt idx="5">
                  <c:v>Ghaziabad</c:v>
                </c:pt>
                <c:pt idx="6">
                  <c:v>Hazaribagh</c:v>
                </c:pt>
                <c:pt idx="7">
                  <c:v>Khammam</c:v>
                </c:pt>
                <c:pt idx="8">
                  <c:v>Lucknow</c:v>
                </c:pt>
                <c:pt idx="9">
                  <c:v>Muzaffarnagar</c:v>
                </c:pt>
              </c:strCache>
            </c:strRef>
          </c:cat>
          <c:val>
            <c:numRef>
              <c:f>Sheet2!$F$14:$F$24</c:f>
              <c:numCache>
                <c:formatCode>General</c:formatCode>
                <c:ptCount val="10"/>
                <c:pt idx="0">
                  <c:v>9</c:v>
                </c:pt>
                <c:pt idx="1">
                  <c:v>7</c:v>
                </c:pt>
                <c:pt idx="2">
                  <c:v>8</c:v>
                </c:pt>
                <c:pt idx="3">
                  <c:v>7</c:v>
                </c:pt>
                <c:pt idx="4">
                  <c:v>7</c:v>
                </c:pt>
                <c:pt idx="5">
                  <c:v>9</c:v>
                </c:pt>
                <c:pt idx="6">
                  <c:v>7</c:v>
                </c:pt>
                <c:pt idx="7">
                  <c:v>7</c:v>
                </c:pt>
                <c:pt idx="8">
                  <c:v>7</c:v>
                </c:pt>
                <c:pt idx="9">
                  <c:v>7</c:v>
                </c:pt>
              </c:numCache>
            </c:numRef>
          </c:val>
          <c:extLst>
            <c:ext xmlns:c16="http://schemas.microsoft.com/office/drawing/2014/chart" uri="{C3380CC4-5D6E-409C-BE32-E72D297353CC}">
              <c16:uniqueId val="{00000000-0150-43A4-8865-976471CC5476}"/>
            </c:ext>
          </c:extLst>
        </c:ser>
        <c:dLbls>
          <c:dLblPos val="outEnd"/>
          <c:showLegendKey val="0"/>
          <c:showVal val="1"/>
          <c:showCatName val="0"/>
          <c:showSerName val="0"/>
          <c:showPercent val="0"/>
          <c:showBubbleSize val="0"/>
        </c:dLbls>
        <c:gapWidth val="444"/>
        <c:overlap val="-90"/>
        <c:axId val="1807983823"/>
        <c:axId val="1807986223"/>
      </c:barChart>
      <c:catAx>
        <c:axId val="1807983823"/>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2">
                    <a:lumMod val="90000"/>
                    <a:lumOff val="10000"/>
                  </a:schemeClr>
                </a:solidFill>
                <a:latin typeface="+mn-lt"/>
                <a:ea typeface="+mn-ea"/>
                <a:cs typeface="+mn-cs"/>
              </a:defRPr>
            </a:pPr>
            <a:endParaRPr lang="en-US"/>
          </a:p>
        </c:txPr>
        <c:crossAx val="1807986223"/>
        <c:crosses val="autoZero"/>
        <c:auto val="1"/>
        <c:lblAlgn val="ctr"/>
        <c:lblOffset val="100"/>
        <c:noMultiLvlLbl val="0"/>
      </c:catAx>
      <c:valAx>
        <c:axId val="1807986223"/>
        <c:scaling>
          <c:orientation val="minMax"/>
        </c:scaling>
        <c:delete val="1"/>
        <c:axPos val="l"/>
        <c:numFmt formatCode="General" sourceLinked="1"/>
        <c:majorTickMark val="none"/>
        <c:minorTickMark val="none"/>
        <c:tickLblPos val="nextTo"/>
        <c:crossAx val="180798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290285</xdr:colOff>
      <xdr:row>46</xdr:row>
      <xdr:rowOff>63500</xdr:rowOff>
    </xdr:to>
    <xdr:sp macro="" textlink="">
      <xdr:nvSpPr>
        <xdr:cNvPr id="9" name="Rectangle 8">
          <a:extLst>
            <a:ext uri="{FF2B5EF4-FFF2-40B4-BE49-F238E27FC236}">
              <a16:creationId xmlns:a16="http://schemas.microsoft.com/office/drawing/2014/main" id="{50E209B1-C3AB-0224-3606-A852836375F0}"/>
            </a:ext>
          </a:extLst>
        </xdr:cNvPr>
        <xdr:cNvSpPr/>
      </xdr:nvSpPr>
      <xdr:spPr>
        <a:xfrm>
          <a:off x="0" y="0"/>
          <a:ext cx="18523856" cy="8409214"/>
        </a:xfrm>
        <a:prstGeom prst="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127538</xdr:colOff>
      <xdr:row>10</xdr:row>
      <xdr:rowOff>169540</xdr:rowOff>
    </xdr:from>
    <xdr:to>
      <xdr:col>16</xdr:col>
      <xdr:colOff>445038</xdr:colOff>
      <xdr:row>25</xdr:row>
      <xdr:rowOff>8432</xdr:rowOff>
    </xdr:to>
    <xdr:graphicFrame macro="">
      <xdr:nvGraphicFramePr>
        <xdr:cNvPr id="3" name="Chart 2">
          <a:extLst>
            <a:ext uri="{FF2B5EF4-FFF2-40B4-BE49-F238E27FC236}">
              <a16:creationId xmlns:a16="http://schemas.microsoft.com/office/drawing/2014/main" id="{E5C615C8-0E1D-4B9C-85FF-C760A387F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132888</xdr:colOff>
      <xdr:row>26</xdr:row>
      <xdr:rowOff>54559</xdr:rowOff>
    </xdr:from>
    <xdr:to>
      <xdr:col>16</xdr:col>
      <xdr:colOff>450388</xdr:colOff>
      <xdr:row>40</xdr:row>
      <xdr:rowOff>74879</xdr:rowOff>
    </xdr:to>
    <xdr:graphicFrame macro="">
      <xdr:nvGraphicFramePr>
        <xdr:cNvPr id="4" name="Chart 3">
          <a:extLst>
            <a:ext uri="{FF2B5EF4-FFF2-40B4-BE49-F238E27FC236}">
              <a16:creationId xmlns:a16="http://schemas.microsoft.com/office/drawing/2014/main" id="{6FE36F3D-B1C8-4EDE-BDCB-15116FCD0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553212</xdr:colOff>
      <xdr:row>10</xdr:row>
      <xdr:rowOff>169540</xdr:rowOff>
    </xdr:from>
    <xdr:to>
      <xdr:col>24</xdr:col>
      <xdr:colOff>262926</xdr:colOff>
      <xdr:row>25</xdr:row>
      <xdr:rowOff>8432</xdr:rowOff>
    </xdr:to>
    <xdr:graphicFrame macro="">
      <xdr:nvGraphicFramePr>
        <xdr:cNvPr id="6" name="Chart 5">
          <a:extLst>
            <a:ext uri="{FF2B5EF4-FFF2-40B4-BE49-F238E27FC236}">
              <a16:creationId xmlns:a16="http://schemas.microsoft.com/office/drawing/2014/main" id="{9BBCA584-B3CC-4905-9380-B2103E0616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563911</xdr:colOff>
      <xdr:row>26</xdr:row>
      <xdr:rowOff>54559</xdr:rowOff>
    </xdr:from>
    <xdr:to>
      <xdr:col>24</xdr:col>
      <xdr:colOff>273625</xdr:colOff>
      <xdr:row>40</xdr:row>
      <xdr:rowOff>74879</xdr:rowOff>
    </xdr:to>
    <xdr:graphicFrame macro="">
      <xdr:nvGraphicFramePr>
        <xdr:cNvPr id="7" name="Chart 6">
          <a:extLst>
            <a:ext uri="{FF2B5EF4-FFF2-40B4-BE49-F238E27FC236}">
              <a16:creationId xmlns:a16="http://schemas.microsoft.com/office/drawing/2014/main" id="{3319D5BA-C624-4214-BCDF-626115DE6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397189</xdr:colOff>
      <xdr:row>26</xdr:row>
      <xdr:rowOff>101959</xdr:rowOff>
    </xdr:from>
    <xdr:to>
      <xdr:col>27</xdr:col>
      <xdr:colOff>366056</xdr:colOff>
      <xdr:row>40</xdr:row>
      <xdr:rowOff>68534</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5C884297-0BBB-4635-B287-DA95274B902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984046" y="4819102"/>
              <a:ext cx="1792224" cy="2506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267194</xdr:colOff>
      <xdr:row>6</xdr:row>
      <xdr:rowOff>70952</xdr:rowOff>
    </xdr:from>
    <xdr:to>
      <xdr:col>24</xdr:col>
      <xdr:colOff>312551</xdr:colOff>
      <xdr:row>10</xdr:row>
      <xdr:rowOff>80022</xdr:rowOff>
    </xdr:to>
    <xdr:sp macro="" textlink="Sheet2!G3">
      <xdr:nvSpPr>
        <xdr:cNvPr id="14" name="Rectangle: Rounded Corners 13">
          <a:extLst>
            <a:ext uri="{FF2B5EF4-FFF2-40B4-BE49-F238E27FC236}">
              <a16:creationId xmlns:a16="http://schemas.microsoft.com/office/drawing/2014/main" id="{DB2778EA-F241-4FF9-8F76-0D43A22DE363}"/>
            </a:ext>
          </a:extLst>
        </xdr:cNvPr>
        <xdr:cNvSpPr/>
      </xdr:nvSpPr>
      <xdr:spPr>
        <a:xfrm>
          <a:off x="12422908" y="1159523"/>
          <a:ext cx="2476500" cy="734785"/>
        </a:xfrm>
        <a:prstGeom prst="roundRect">
          <a:avLst/>
        </a:prstGeom>
        <a:solidFill>
          <a:schemeClr val="tx2">
            <a:lumMod val="50000"/>
            <a:lumOff val="50000"/>
          </a:schemeClr>
        </a:solidFill>
        <a:effectLst>
          <a:outerShdw blurRad="50800" dist="38100" dir="13500000" algn="br"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135F7B3-7E31-43C1-A238-AC3DEEE290DE}" type="TxLink">
            <a:rPr lang="en-US" sz="1800" b="0" i="0" u="none" strike="noStrike">
              <a:solidFill>
                <a:schemeClr val="accent1">
                  <a:lumMod val="50000"/>
                </a:schemeClr>
              </a:solidFill>
              <a:latin typeface="Aptos Narrow"/>
            </a:rPr>
            <a:pPr algn="ctr"/>
            <a:t>$3.5K</a:t>
          </a:fld>
          <a:endParaRPr lang="en-US" sz="1800" b="0" i="0" u="none" strike="noStrike">
            <a:solidFill>
              <a:schemeClr val="accent1">
                <a:lumMod val="50000"/>
              </a:schemeClr>
            </a:solidFill>
            <a:latin typeface="Aptos Narrow"/>
          </a:endParaRPr>
        </a:p>
        <a:p>
          <a:pPr algn="ctr"/>
          <a:r>
            <a:rPr lang="en-US" sz="1800" b="0" i="0" u="none" strike="noStrike">
              <a:solidFill>
                <a:schemeClr val="accent1">
                  <a:lumMod val="50000"/>
                </a:schemeClr>
              </a:solidFill>
              <a:latin typeface="Aptos Narrow"/>
            </a:rPr>
            <a:t>AVg</a:t>
          </a:r>
          <a:r>
            <a:rPr lang="en-US" sz="1800" b="0" i="0" u="none" strike="noStrike" baseline="0">
              <a:solidFill>
                <a:schemeClr val="accent1">
                  <a:lumMod val="50000"/>
                </a:schemeClr>
              </a:solidFill>
              <a:latin typeface="Aptos Narrow"/>
            </a:rPr>
            <a:t> Customer Spent</a:t>
          </a:r>
          <a:endParaRPr lang="en-US" sz="1800">
            <a:solidFill>
              <a:schemeClr val="accent1">
                <a:lumMod val="50000"/>
              </a:schemeClr>
            </a:solidFill>
          </a:endParaRPr>
        </a:p>
      </xdr:txBody>
    </xdr:sp>
    <xdr:clientData/>
  </xdr:twoCellAnchor>
  <xdr:twoCellAnchor>
    <xdr:from>
      <xdr:col>1</xdr:col>
      <xdr:colOff>309649</xdr:colOff>
      <xdr:row>10</xdr:row>
      <xdr:rowOff>169540</xdr:rowOff>
    </xdr:from>
    <xdr:to>
      <xdr:col>9</xdr:col>
      <xdr:colOff>19364</xdr:colOff>
      <xdr:row>25</xdr:row>
      <xdr:rowOff>8432</xdr:rowOff>
    </xdr:to>
    <xdr:graphicFrame macro="">
      <xdr:nvGraphicFramePr>
        <xdr:cNvPr id="15" name="Chart 14">
          <a:extLst>
            <a:ext uri="{FF2B5EF4-FFF2-40B4-BE49-F238E27FC236}">
              <a16:creationId xmlns:a16="http://schemas.microsoft.com/office/drawing/2014/main" id="{07739B6F-0818-A931-3DFF-805EA4719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309649</xdr:colOff>
      <xdr:row>26</xdr:row>
      <xdr:rowOff>54559</xdr:rowOff>
    </xdr:from>
    <xdr:to>
      <xdr:col>9</xdr:col>
      <xdr:colOff>19364</xdr:colOff>
      <xdr:row>40</xdr:row>
      <xdr:rowOff>74879</xdr:rowOff>
    </xdr:to>
    <xdr:graphicFrame macro="">
      <xdr:nvGraphicFramePr>
        <xdr:cNvPr id="16" name="Chart 15">
          <a:extLst>
            <a:ext uri="{FF2B5EF4-FFF2-40B4-BE49-F238E27FC236}">
              <a16:creationId xmlns:a16="http://schemas.microsoft.com/office/drawing/2014/main" id="{A140BFB5-0A64-6548-6B9F-0AA43A53C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385704</xdr:colOff>
      <xdr:row>18</xdr:row>
      <xdr:rowOff>132802</xdr:rowOff>
    </xdr:from>
    <xdr:to>
      <xdr:col>27</xdr:col>
      <xdr:colOff>377541</xdr:colOff>
      <xdr:row>25</xdr:row>
      <xdr:rowOff>43902</xdr:rowOff>
    </xdr:to>
    <mc:AlternateContent xmlns:mc="http://schemas.openxmlformats.org/markup-compatibility/2006">
      <mc:Choice xmlns:tsle="http://schemas.microsoft.com/office/drawing/2012/timeslicer" Requires="tsle">
        <xdr:graphicFrame macro="">
          <xdr:nvGraphicFramePr>
            <xdr:cNvPr id="17" name="Delivery_Date">
              <a:extLst>
                <a:ext uri="{FF2B5EF4-FFF2-40B4-BE49-F238E27FC236}">
                  <a16:creationId xmlns:a16="http://schemas.microsoft.com/office/drawing/2014/main" id="{BA051BB3-B756-A290-2720-5C7CF0953148}"/>
                </a:ext>
              </a:extLst>
            </xdr:cNvPr>
            <xdr:cNvGraphicFramePr>
              <a:graphicFrameLocks/>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972561" y="3398516"/>
              <a:ext cx="1815194"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24</xdr:col>
      <xdr:colOff>378901</xdr:colOff>
      <xdr:row>10</xdr:row>
      <xdr:rowOff>163643</xdr:rowOff>
    </xdr:from>
    <xdr:to>
      <xdr:col>27</xdr:col>
      <xdr:colOff>384344</xdr:colOff>
      <xdr:row>17</xdr:row>
      <xdr:rowOff>74743</xdr:rowOff>
    </xdr:to>
    <mc:AlternateContent xmlns:mc="http://schemas.openxmlformats.org/markup-compatibility/2006">
      <mc:Choice xmlns:tsle="http://schemas.microsoft.com/office/drawing/2012/timeslicer" Requires="tsle">
        <xdr:graphicFrame macro="">
          <xdr:nvGraphicFramePr>
            <xdr:cNvPr id="18" name="Order_Date">
              <a:extLst>
                <a:ext uri="{FF2B5EF4-FFF2-40B4-BE49-F238E27FC236}">
                  <a16:creationId xmlns:a16="http://schemas.microsoft.com/office/drawing/2014/main" id="{71E6CE47-28BD-0C11-580D-294063489CBD}"/>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965758" y="1977929"/>
              <a:ext cx="1828800"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526143</xdr:colOff>
      <xdr:row>0</xdr:row>
      <xdr:rowOff>18143</xdr:rowOff>
    </xdr:from>
    <xdr:to>
      <xdr:col>19</xdr:col>
      <xdr:colOff>335642</xdr:colOff>
      <xdr:row>5</xdr:row>
      <xdr:rowOff>154214</xdr:rowOff>
    </xdr:to>
    <xdr:sp macro="" textlink="">
      <xdr:nvSpPr>
        <xdr:cNvPr id="19" name="Rectangle: Rounded Corners 18">
          <a:extLst>
            <a:ext uri="{FF2B5EF4-FFF2-40B4-BE49-F238E27FC236}">
              <a16:creationId xmlns:a16="http://schemas.microsoft.com/office/drawing/2014/main" id="{0F7BD35A-5FF7-3096-E1A3-96A28871D829}"/>
            </a:ext>
          </a:extLst>
        </xdr:cNvPr>
        <xdr:cNvSpPr/>
      </xdr:nvSpPr>
      <xdr:spPr>
        <a:xfrm>
          <a:off x="4780643" y="18143"/>
          <a:ext cx="7102928" cy="1043214"/>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Calibri" panose="020F0502020204030204" pitchFamily="34" charset="0"/>
              <a:ea typeface="Calibri" panose="020F0502020204030204" pitchFamily="34" charset="0"/>
              <a:cs typeface="Calibri" panose="020F0502020204030204" pitchFamily="34" charset="0"/>
            </a:rPr>
            <a:t>Sales Performance Dashboard (2023–2024)</a:t>
          </a:r>
        </a:p>
        <a:p>
          <a:pPr algn="ctr"/>
          <a:r>
            <a:rPr lang="en-US" sz="2400" b="1">
              <a:solidFill>
                <a:schemeClr val="tx1"/>
              </a:solidFill>
              <a:latin typeface="Calibri" panose="020F0502020204030204" pitchFamily="34" charset="0"/>
              <a:ea typeface="Calibri" panose="020F0502020204030204" pitchFamily="34" charset="0"/>
              <a:cs typeface="Calibri" panose="020F0502020204030204" pitchFamily="34" charset="0"/>
            </a:rPr>
            <a:t>Interactive Excel Dashboard for Business Insights</a:t>
          </a:r>
        </a:p>
      </xdr:txBody>
    </xdr:sp>
    <xdr:clientData/>
  </xdr:twoCellAnchor>
  <xdr:twoCellAnchor>
    <xdr:from>
      <xdr:col>0</xdr:col>
      <xdr:colOff>0</xdr:colOff>
      <xdr:row>9</xdr:row>
      <xdr:rowOff>81642</xdr:rowOff>
    </xdr:from>
    <xdr:to>
      <xdr:col>1</xdr:col>
      <xdr:colOff>172357</xdr:colOff>
      <xdr:row>40</xdr:row>
      <xdr:rowOff>172357</xdr:rowOff>
    </xdr:to>
    <xdr:sp macro="" textlink="">
      <xdr:nvSpPr>
        <xdr:cNvPr id="20" name="Rectangle: Rounded Corners 19">
          <a:extLst>
            <a:ext uri="{FF2B5EF4-FFF2-40B4-BE49-F238E27FC236}">
              <a16:creationId xmlns:a16="http://schemas.microsoft.com/office/drawing/2014/main" id="{BBD23CEC-0BC5-451A-82A9-AAD47993F951}"/>
            </a:ext>
          </a:extLst>
        </xdr:cNvPr>
        <xdr:cNvSpPr/>
      </xdr:nvSpPr>
      <xdr:spPr>
        <a:xfrm>
          <a:off x="0" y="1714499"/>
          <a:ext cx="780143" cy="5715001"/>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186799</xdr:colOff>
      <xdr:row>6</xdr:row>
      <xdr:rowOff>70952</xdr:rowOff>
    </xdr:from>
    <xdr:to>
      <xdr:col>7</xdr:col>
      <xdr:colOff>232155</xdr:colOff>
      <xdr:row>10</xdr:row>
      <xdr:rowOff>80022</xdr:rowOff>
    </xdr:to>
    <xdr:sp macro="" textlink="Sheet2!B3">
      <xdr:nvSpPr>
        <xdr:cNvPr id="21" name="Rectangle: Rounded Corners 20">
          <a:extLst>
            <a:ext uri="{FF2B5EF4-FFF2-40B4-BE49-F238E27FC236}">
              <a16:creationId xmlns:a16="http://schemas.microsoft.com/office/drawing/2014/main" id="{9071FBE2-2CD9-0027-9BBA-8DF2DB41D879}"/>
            </a:ext>
          </a:extLst>
        </xdr:cNvPr>
        <xdr:cNvSpPr/>
      </xdr:nvSpPr>
      <xdr:spPr>
        <a:xfrm>
          <a:off x="2010156" y="1159523"/>
          <a:ext cx="2476499" cy="734785"/>
        </a:xfrm>
        <a:prstGeom prst="roundRect">
          <a:avLst/>
        </a:prstGeom>
        <a:solidFill>
          <a:schemeClr val="tx2">
            <a:lumMod val="50000"/>
            <a:lumOff val="50000"/>
          </a:schemeClr>
        </a:solidFill>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62E07E-A379-4F5F-A540-31F9C40ACF48}" type="TxLink">
            <a:rPr lang="en-US" sz="1800" b="0" i="0" u="none" strike="noStrike">
              <a:solidFill>
                <a:schemeClr val="accent1">
                  <a:lumMod val="50000"/>
                </a:schemeClr>
              </a:solidFill>
              <a:latin typeface="Aptos Narrow"/>
            </a:rPr>
            <a:t>$3.5M</a:t>
          </a:fld>
          <a:endParaRPr lang="en-US" sz="1800" b="0" i="0" u="none" strike="noStrike">
            <a:solidFill>
              <a:schemeClr val="accent1">
                <a:lumMod val="50000"/>
              </a:schemeClr>
            </a:solidFill>
            <a:latin typeface="Aptos Narrow"/>
          </a:endParaRPr>
        </a:p>
        <a:p>
          <a:pPr algn="ctr"/>
          <a:r>
            <a:rPr lang="en-US" sz="1800" b="0" i="0" u="none" strike="noStrike">
              <a:solidFill>
                <a:schemeClr val="accent1">
                  <a:lumMod val="50000"/>
                </a:schemeClr>
              </a:solidFill>
              <a:latin typeface="Aptos Narrow"/>
            </a:rPr>
            <a:t>Total Revenue</a:t>
          </a:r>
        </a:p>
      </xdr:txBody>
    </xdr:sp>
    <xdr:clientData/>
  </xdr:twoCellAnchor>
  <xdr:twoCellAnchor>
    <xdr:from>
      <xdr:col>14</xdr:col>
      <xdr:colOff>440242</xdr:colOff>
      <xdr:row>6</xdr:row>
      <xdr:rowOff>70952</xdr:rowOff>
    </xdr:from>
    <xdr:to>
      <xdr:col>18</xdr:col>
      <xdr:colOff>489722</xdr:colOff>
      <xdr:row>10</xdr:row>
      <xdr:rowOff>80022</xdr:rowOff>
    </xdr:to>
    <xdr:sp macro="" textlink="Sheet2!C3">
      <xdr:nvSpPr>
        <xdr:cNvPr id="23" name="Rectangle: Rounded Corners 22">
          <a:extLst>
            <a:ext uri="{FF2B5EF4-FFF2-40B4-BE49-F238E27FC236}">
              <a16:creationId xmlns:a16="http://schemas.microsoft.com/office/drawing/2014/main" id="{9CF7FA5A-2A95-4050-C89F-DF3CE0328127}"/>
            </a:ext>
          </a:extLst>
        </xdr:cNvPr>
        <xdr:cNvSpPr/>
      </xdr:nvSpPr>
      <xdr:spPr>
        <a:xfrm>
          <a:off x="8949242" y="1159523"/>
          <a:ext cx="2480623" cy="734785"/>
        </a:xfrm>
        <a:prstGeom prst="roundRect">
          <a:avLst/>
        </a:prstGeom>
        <a:solidFill>
          <a:schemeClr val="tx2">
            <a:lumMod val="50000"/>
            <a:lumOff val="50000"/>
          </a:schemeClr>
        </a:solidFill>
        <a:effectLst>
          <a:outerShdw blurRad="63500" sx="102000" sy="102000" algn="ctr"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2BB1E3-5E42-4550-B754-8C9901231E41}" type="TxLink">
            <a:rPr lang="en-US" sz="1800" b="0" i="0" u="none" strike="noStrike">
              <a:solidFill>
                <a:schemeClr val="accent1">
                  <a:lumMod val="50000"/>
                </a:schemeClr>
              </a:solidFill>
              <a:latin typeface="Aptos Narrow"/>
            </a:rPr>
            <a:pPr algn="ctr"/>
            <a:t>5.53</a:t>
          </a:fld>
          <a:endParaRPr lang="en-US" sz="1800" b="0" i="0" u="none" strike="noStrike">
            <a:solidFill>
              <a:schemeClr val="accent1">
                <a:lumMod val="50000"/>
              </a:schemeClr>
            </a:solidFill>
            <a:latin typeface="Aptos Narrow"/>
          </a:endParaRPr>
        </a:p>
        <a:p>
          <a:pPr algn="ctr"/>
          <a:r>
            <a:rPr lang="en-US" sz="1800" b="0" i="0" u="none" strike="noStrike" baseline="0">
              <a:solidFill>
                <a:schemeClr val="accent1">
                  <a:lumMod val="50000"/>
                </a:schemeClr>
              </a:solidFill>
              <a:latin typeface="Aptos Narrow"/>
            </a:rPr>
            <a:t>Avg Delivery Time</a:t>
          </a:r>
        </a:p>
      </xdr:txBody>
    </xdr:sp>
    <xdr:clientData/>
  </xdr:twoCellAnchor>
  <xdr:twoCellAnchor>
    <xdr:from>
      <xdr:col>9</xdr:col>
      <xdr:colOff>9627</xdr:colOff>
      <xdr:row>6</xdr:row>
      <xdr:rowOff>70952</xdr:rowOff>
    </xdr:from>
    <xdr:to>
      <xdr:col>13</xdr:col>
      <xdr:colOff>54985</xdr:colOff>
      <xdr:row>10</xdr:row>
      <xdr:rowOff>80022</xdr:rowOff>
    </xdr:to>
    <xdr:sp macro="" textlink="Sheet2!J4">
      <xdr:nvSpPr>
        <xdr:cNvPr id="22" name="Rectangle: Rounded Corners 21">
          <a:extLst>
            <a:ext uri="{FF2B5EF4-FFF2-40B4-BE49-F238E27FC236}">
              <a16:creationId xmlns:a16="http://schemas.microsoft.com/office/drawing/2014/main" id="{83BD6F53-4C1C-EF39-33B9-59D96336944B}"/>
            </a:ext>
          </a:extLst>
        </xdr:cNvPr>
        <xdr:cNvSpPr/>
      </xdr:nvSpPr>
      <xdr:spPr>
        <a:xfrm>
          <a:off x="5479698" y="1159523"/>
          <a:ext cx="2476501" cy="734785"/>
        </a:xfrm>
        <a:prstGeom prst="roundRect">
          <a:avLst/>
        </a:prstGeom>
        <a:solidFill>
          <a:schemeClr val="tx2">
            <a:lumMod val="50000"/>
            <a:lumOff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15F441-3C32-489B-B4D1-1E9C7CF0D97F}" type="TxLink">
            <a:rPr lang="en-US" sz="1800" b="0" i="0" u="none" strike="noStrike">
              <a:solidFill>
                <a:schemeClr val="accent1">
                  <a:lumMod val="50000"/>
                </a:schemeClr>
              </a:solidFill>
              <a:latin typeface="Aptos Narrow"/>
            </a:rPr>
            <a:t>1K</a:t>
          </a:fld>
          <a:endParaRPr lang="en-US" sz="1800" b="0" i="0" u="none" strike="noStrike">
            <a:solidFill>
              <a:schemeClr val="accent1">
                <a:lumMod val="50000"/>
              </a:schemeClr>
            </a:solidFill>
            <a:latin typeface="Aptos Narrow"/>
          </a:endParaRPr>
        </a:p>
        <a:p>
          <a:pPr algn="ctr"/>
          <a:r>
            <a:rPr lang="en-US" sz="1800" b="0" i="0" u="none" strike="noStrike">
              <a:solidFill>
                <a:schemeClr val="accent1">
                  <a:lumMod val="50000"/>
                </a:schemeClr>
              </a:solidFill>
              <a:latin typeface="Aptos Narrow"/>
            </a:rPr>
            <a:t>Total</a:t>
          </a:r>
          <a:r>
            <a:rPr lang="en-US" sz="1800" b="0" i="0" u="none" strike="noStrike" baseline="0">
              <a:solidFill>
                <a:schemeClr val="accent1">
                  <a:lumMod val="50000"/>
                </a:schemeClr>
              </a:solidFill>
              <a:latin typeface="Aptos Narrow"/>
            </a:rPr>
            <a:t> of Orders</a:t>
          </a:r>
          <a:endParaRPr lang="en-US" sz="1800">
            <a:solidFill>
              <a:schemeClr val="accent1">
                <a:lumMod val="50000"/>
              </a:schemeClr>
            </a:solidFill>
          </a:endParaRPr>
        </a:p>
      </xdr:txBody>
    </xdr:sp>
    <xdr:clientData/>
  </xdr:twoCellAnchor>
  <xdr:twoCellAnchor>
    <xdr:from>
      <xdr:col>3</xdr:col>
      <xdr:colOff>264404</xdr:colOff>
      <xdr:row>7</xdr:row>
      <xdr:rowOff>93429</xdr:rowOff>
    </xdr:from>
    <xdr:to>
      <xdr:col>4</xdr:col>
      <xdr:colOff>56693</xdr:colOff>
      <xdr:row>9</xdr:row>
      <xdr:rowOff>73472</xdr:rowOff>
    </xdr:to>
    <xdr:sp macro="" textlink="">
      <xdr:nvSpPr>
        <xdr:cNvPr id="39" name="Graphic 32" descr="Coins with solid fill">
          <a:extLst>
            <a:ext uri="{FF2B5EF4-FFF2-40B4-BE49-F238E27FC236}">
              <a16:creationId xmlns:a16="http://schemas.microsoft.com/office/drawing/2014/main" id="{15A661C4-FCA4-9B79-8AD2-9BED0F826BEE}"/>
            </a:ext>
          </a:extLst>
        </xdr:cNvPr>
        <xdr:cNvSpPr/>
      </xdr:nvSpPr>
      <xdr:spPr>
        <a:xfrm>
          <a:off x="2087761" y="1363429"/>
          <a:ext cx="400075" cy="342900"/>
        </a:xfrm>
        <a:custGeom>
          <a:avLst/>
          <a:gdLst>
            <a:gd name="csX0" fmla="*/ 371951 w 400075"/>
            <a:gd name="csY0" fmla="*/ 285750 h 342900"/>
            <a:gd name="csX1" fmla="*/ 352901 w 400075"/>
            <a:gd name="csY1" fmla="*/ 301943 h 342900"/>
            <a:gd name="csX2" fmla="*/ 352901 w 400075"/>
            <a:gd name="csY2" fmla="*/ 284798 h 342900"/>
            <a:gd name="csX3" fmla="*/ 371951 w 400075"/>
            <a:gd name="csY3" fmla="*/ 277178 h 342900"/>
            <a:gd name="csX4" fmla="*/ 371951 w 400075"/>
            <a:gd name="csY4" fmla="*/ 285750 h 342900"/>
            <a:gd name="csX5" fmla="*/ 333851 w 400075"/>
            <a:gd name="csY5" fmla="*/ 254318 h 342900"/>
            <a:gd name="csX6" fmla="*/ 333851 w 400075"/>
            <a:gd name="csY6" fmla="*/ 237173 h 342900"/>
            <a:gd name="csX7" fmla="*/ 352901 w 400075"/>
            <a:gd name="csY7" fmla="*/ 229553 h 342900"/>
            <a:gd name="csX8" fmla="*/ 352901 w 400075"/>
            <a:gd name="csY8" fmla="*/ 238125 h 342900"/>
            <a:gd name="csX9" fmla="*/ 333851 w 400075"/>
            <a:gd name="csY9" fmla="*/ 254318 h 342900"/>
            <a:gd name="csX10" fmla="*/ 333851 w 400075"/>
            <a:gd name="csY10" fmla="*/ 307658 h 342900"/>
            <a:gd name="csX11" fmla="*/ 314801 w 400075"/>
            <a:gd name="csY11" fmla="*/ 310991 h 342900"/>
            <a:gd name="csX12" fmla="*/ 314801 w 400075"/>
            <a:gd name="csY12" fmla="*/ 292418 h 342900"/>
            <a:gd name="csX13" fmla="*/ 333851 w 400075"/>
            <a:gd name="csY13" fmla="*/ 289560 h 342900"/>
            <a:gd name="csX14" fmla="*/ 333851 w 400075"/>
            <a:gd name="csY14" fmla="*/ 307658 h 342900"/>
            <a:gd name="csX15" fmla="*/ 295751 w 400075"/>
            <a:gd name="csY15" fmla="*/ 244793 h 342900"/>
            <a:gd name="csX16" fmla="*/ 314801 w 400075"/>
            <a:gd name="csY16" fmla="*/ 241935 h 342900"/>
            <a:gd name="csX17" fmla="*/ 314801 w 400075"/>
            <a:gd name="csY17" fmla="*/ 260033 h 342900"/>
            <a:gd name="csX18" fmla="*/ 295751 w 400075"/>
            <a:gd name="csY18" fmla="*/ 263366 h 342900"/>
            <a:gd name="csX19" fmla="*/ 295751 w 400075"/>
            <a:gd name="csY19" fmla="*/ 244793 h 342900"/>
            <a:gd name="csX20" fmla="*/ 295751 w 400075"/>
            <a:gd name="csY20" fmla="*/ 313373 h 342900"/>
            <a:gd name="csX21" fmla="*/ 276701 w 400075"/>
            <a:gd name="csY21" fmla="*/ 314325 h 342900"/>
            <a:gd name="csX22" fmla="*/ 276701 w 400075"/>
            <a:gd name="csY22" fmla="*/ 295275 h 342900"/>
            <a:gd name="csX23" fmla="*/ 295751 w 400075"/>
            <a:gd name="csY23" fmla="*/ 294323 h 342900"/>
            <a:gd name="csX24" fmla="*/ 295751 w 400075"/>
            <a:gd name="csY24" fmla="*/ 313373 h 342900"/>
            <a:gd name="csX25" fmla="*/ 257651 w 400075"/>
            <a:gd name="csY25" fmla="*/ 266700 h 342900"/>
            <a:gd name="csX26" fmla="*/ 257651 w 400075"/>
            <a:gd name="csY26" fmla="*/ 247650 h 342900"/>
            <a:gd name="csX27" fmla="*/ 276701 w 400075"/>
            <a:gd name="csY27" fmla="*/ 246698 h 342900"/>
            <a:gd name="csX28" fmla="*/ 276701 w 400075"/>
            <a:gd name="csY28" fmla="*/ 265748 h 342900"/>
            <a:gd name="csX29" fmla="*/ 257651 w 400075"/>
            <a:gd name="csY29" fmla="*/ 266700 h 342900"/>
            <a:gd name="csX30" fmla="*/ 257651 w 400075"/>
            <a:gd name="csY30" fmla="*/ 314325 h 342900"/>
            <a:gd name="csX31" fmla="*/ 238601 w 400075"/>
            <a:gd name="csY31" fmla="*/ 313373 h 342900"/>
            <a:gd name="csX32" fmla="*/ 238601 w 400075"/>
            <a:gd name="csY32" fmla="*/ 295275 h 342900"/>
            <a:gd name="csX33" fmla="*/ 248126 w 400075"/>
            <a:gd name="csY33" fmla="*/ 295275 h 342900"/>
            <a:gd name="csX34" fmla="*/ 257651 w 400075"/>
            <a:gd name="csY34" fmla="*/ 295275 h 342900"/>
            <a:gd name="csX35" fmla="*/ 257651 w 400075"/>
            <a:gd name="csY35" fmla="*/ 314325 h 342900"/>
            <a:gd name="csX36" fmla="*/ 219551 w 400075"/>
            <a:gd name="csY36" fmla="*/ 246698 h 342900"/>
            <a:gd name="csX37" fmla="*/ 238601 w 400075"/>
            <a:gd name="csY37" fmla="*/ 247650 h 342900"/>
            <a:gd name="csX38" fmla="*/ 238601 w 400075"/>
            <a:gd name="csY38" fmla="*/ 266700 h 342900"/>
            <a:gd name="csX39" fmla="*/ 219551 w 400075"/>
            <a:gd name="csY39" fmla="*/ 265748 h 342900"/>
            <a:gd name="csX40" fmla="*/ 219551 w 400075"/>
            <a:gd name="csY40" fmla="*/ 246698 h 342900"/>
            <a:gd name="csX41" fmla="*/ 219551 w 400075"/>
            <a:gd name="csY41" fmla="*/ 310991 h 342900"/>
            <a:gd name="csX42" fmla="*/ 200501 w 400075"/>
            <a:gd name="csY42" fmla="*/ 307658 h 342900"/>
            <a:gd name="csX43" fmla="*/ 200501 w 400075"/>
            <a:gd name="csY43" fmla="*/ 292418 h 342900"/>
            <a:gd name="csX44" fmla="*/ 219551 w 400075"/>
            <a:gd name="csY44" fmla="*/ 294323 h 342900"/>
            <a:gd name="csX45" fmla="*/ 219551 w 400075"/>
            <a:gd name="csY45" fmla="*/ 310991 h 342900"/>
            <a:gd name="csX46" fmla="*/ 181451 w 400075"/>
            <a:gd name="csY46" fmla="*/ 260033 h 342900"/>
            <a:gd name="csX47" fmla="*/ 181451 w 400075"/>
            <a:gd name="csY47" fmla="*/ 241459 h 342900"/>
            <a:gd name="csX48" fmla="*/ 200501 w 400075"/>
            <a:gd name="csY48" fmla="*/ 244316 h 342900"/>
            <a:gd name="csX49" fmla="*/ 200501 w 400075"/>
            <a:gd name="csY49" fmla="*/ 263366 h 342900"/>
            <a:gd name="csX50" fmla="*/ 181451 w 400075"/>
            <a:gd name="csY50" fmla="*/ 260033 h 342900"/>
            <a:gd name="csX51" fmla="*/ 181451 w 400075"/>
            <a:gd name="csY51" fmla="*/ 301943 h 342900"/>
            <a:gd name="csX52" fmla="*/ 162401 w 400075"/>
            <a:gd name="csY52" fmla="*/ 285750 h 342900"/>
            <a:gd name="csX53" fmla="*/ 162401 w 400075"/>
            <a:gd name="csY53" fmla="*/ 284798 h 342900"/>
            <a:gd name="csX54" fmla="*/ 162878 w 400075"/>
            <a:gd name="csY54" fmla="*/ 284798 h 342900"/>
            <a:gd name="csX55" fmla="*/ 166688 w 400075"/>
            <a:gd name="csY55" fmla="*/ 285750 h 342900"/>
            <a:gd name="csX56" fmla="*/ 181451 w 400075"/>
            <a:gd name="csY56" fmla="*/ 289084 h 342900"/>
            <a:gd name="csX57" fmla="*/ 181451 w 400075"/>
            <a:gd name="csY57" fmla="*/ 301943 h 342900"/>
            <a:gd name="csX58" fmla="*/ 105251 w 400075"/>
            <a:gd name="csY58" fmla="*/ 237173 h 342900"/>
            <a:gd name="csX59" fmla="*/ 114776 w 400075"/>
            <a:gd name="csY59" fmla="*/ 237649 h 342900"/>
            <a:gd name="csX60" fmla="*/ 114776 w 400075"/>
            <a:gd name="csY60" fmla="*/ 238125 h 342900"/>
            <a:gd name="csX61" fmla="*/ 119539 w 400075"/>
            <a:gd name="csY61" fmla="*/ 256699 h 342900"/>
            <a:gd name="csX62" fmla="*/ 105251 w 400075"/>
            <a:gd name="csY62" fmla="*/ 255746 h 342900"/>
            <a:gd name="csX63" fmla="*/ 105251 w 400075"/>
            <a:gd name="csY63" fmla="*/ 237173 h 342900"/>
            <a:gd name="csX64" fmla="*/ 86201 w 400075"/>
            <a:gd name="csY64" fmla="*/ 180023 h 342900"/>
            <a:gd name="csX65" fmla="*/ 105251 w 400075"/>
            <a:gd name="csY65" fmla="*/ 182880 h 342900"/>
            <a:gd name="csX66" fmla="*/ 105251 w 400075"/>
            <a:gd name="csY66" fmla="*/ 201930 h 342900"/>
            <a:gd name="csX67" fmla="*/ 86201 w 400075"/>
            <a:gd name="csY67" fmla="*/ 198596 h 342900"/>
            <a:gd name="csX68" fmla="*/ 86201 w 400075"/>
            <a:gd name="csY68" fmla="*/ 180023 h 342900"/>
            <a:gd name="csX69" fmla="*/ 86201 w 400075"/>
            <a:gd name="csY69" fmla="*/ 253841 h 342900"/>
            <a:gd name="csX70" fmla="*/ 67151 w 400075"/>
            <a:gd name="csY70" fmla="*/ 250508 h 342900"/>
            <a:gd name="csX71" fmla="*/ 67151 w 400075"/>
            <a:gd name="csY71" fmla="*/ 231934 h 342900"/>
            <a:gd name="csX72" fmla="*/ 86201 w 400075"/>
            <a:gd name="csY72" fmla="*/ 234791 h 342900"/>
            <a:gd name="csX73" fmla="*/ 86201 w 400075"/>
            <a:gd name="csY73" fmla="*/ 253841 h 342900"/>
            <a:gd name="csX74" fmla="*/ 48101 w 400075"/>
            <a:gd name="csY74" fmla="*/ 176213 h 342900"/>
            <a:gd name="csX75" fmla="*/ 48101 w 400075"/>
            <a:gd name="csY75" fmla="*/ 167640 h 342900"/>
            <a:gd name="csX76" fmla="*/ 67151 w 400075"/>
            <a:gd name="csY76" fmla="*/ 174784 h 342900"/>
            <a:gd name="csX77" fmla="*/ 67151 w 400075"/>
            <a:gd name="csY77" fmla="*/ 192405 h 342900"/>
            <a:gd name="csX78" fmla="*/ 48101 w 400075"/>
            <a:gd name="csY78" fmla="*/ 176213 h 342900"/>
            <a:gd name="csX79" fmla="*/ 48101 w 400075"/>
            <a:gd name="csY79" fmla="*/ 244793 h 342900"/>
            <a:gd name="csX80" fmla="*/ 29051 w 400075"/>
            <a:gd name="csY80" fmla="*/ 228600 h 342900"/>
            <a:gd name="csX81" fmla="*/ 29051 w 400075"/>
            <a:gd name="csY81" fmla="*/ 220028 h 342900"/>
            <a:gd name="csX82" fmla="*/ 48101 w 400075"/>
            <a:gd name="csY82" fmla="*/ 227171 h 342900"/>
            <a:gd name="csX83" fmla="*/ 48101 w 400075"/>
            <a:gd name="csY83" fmla="*/ 244793 h 342900"/>
            <a:gd name="csX84" fmla="*/ 29051 w 400075"/>
            <a:gd name="csY84" fmla="*/ 96203 h 342900"/>
            <a:gd name="csX85" fmla="*/ 48101 w 400075"/>
            <a:gd name="csY85" fmla="*/ 103346 h 342900"/>
            <a:gd name="csX86" fmla="*/ 48101 w 400075"/>
            <a:gd name="csY86" fmla="*/ 120968 h 342900"/>
            <a:gd name="csX87" fmla="*/ 29051 w 400075"/>
            <a:gd name="csY87" fmla="*/ 104775 h 342900"/>
            <a:gd name="csX88" fmla="*/ 29051 w 400075"/>
            <a:gd name="csY88" fmla="*/ 96203 h 342900"/>
            <a:gd name="csX89" fmla="*/ 86201 w 400075"/>
            <a:gd name="csY89" fmla="*/ 111443 h 342900"/>
            <a:gd name="csX90" fmla="*/ 86201 w 400075"/>
            <a:gd name="csY90" fmla="*/ 130493 h 342900"/>
            <a:gd name="csX91" fmla="*/ 67151 w 400075"/>
            <a:gd name="csY91" fmla="*/ 127159 h 342900"/>
            <a:gd name="csX92" fmla="*/ 67151 w 400075"/>
            <a:gd name="csY92" fmla="*/ 108585 h 342900"/>
            <a:gd name="csX93" fmla="*/ 86201 w 400075"/>
            <a:gd name="csY93" fmla="*/ 111443 h 342900"/>
            <a:gd name="csX94" fmla="*/ 133826 w 400075"/>
            <a:gd name="csY94" fmla="*/ 28575 h 342900"/>
            <a:gd name="csX95" fmla="*/ 238601 w 400075"/>
            <a:gd name="csY95" fmla="*/ 57150 h 342900"/>
            <a:gd name="csX96" fmla="*/ 133826 w 400075"/>
            <a:gd name="csY96" fmla="*/ 85725 h 342900"/>
            <a:gd name="csX97" fmla="*/ 29051 w 400075"/>
            <a:gd name="csY97" fmla="*/ 57150 h 342900"/>
            <a:gd name="csX98" fmla="*/ 133826 w 400075"/>
            <a:gd name="csY98" fmla="*/ 28575 h 342900"/>
            <a:gd name="csX99" fmla="*/ 162401 w 400075"/>
            <a:gd name="csY99" fmla="*/ 254318 h 342900"/>
            <a:gd name="csX100" fmla="*/ 143351 w 400075"/>
            <a:gd name="csY100" fmla="*/ 238125 h 342900"/>
            <a:gd name="csX101" fmla="*/ 143351 w 400075"/>
            <a:gd name="csY101" fmla="*/ 229553 h 342900"/>
            <a:gd name="csX102" fmla="*/ 162401 w 400075"/>
            <a:gd name="csY102" fmla="*/ 236696 h 342900"/>
            <a:gd name="csX103" fmla="*/ 162401 w 400075"/>
            <a:gd name="csY103" fmla="*/ 254318 h 342900"/>
            <a:gd name="csX104" fmla="*/ 219551 w 400075"/>
            <a:gd name="csY104" fmla="*/ 120968 h 342900"/>
            <a:gd name="csX105" fmla="*/ 219551 w 400075"/>
            <a:gd name="csY105" fmla="*/ 103823 h 342900"/>
            <a:gd name="csX106" fmla="*/ 238601 w 400075"/>
            <a:gd name="csY106" fmla="*/ 96203 h 342900"/>
            <a:gd name="csX107" fmla="*/ 238601 w 400075"/>
            <a:gd name="csY107" fmla="*/ 104775 h 342900"/>
            <a:gd name="csX108" fmla="*/ 219551 w 400075"/>
            <a:gd name="csY108" fmla="*/ 120968 h 342900"/>
            <a:gd name="csX109" fmla="*/ 181451 w 400075"/>
            <a:gd name="csY109" fmla="*/ 130016 h 342900"/>
            <a:gd name="csX110" fmla="*/ 181451 w 400075"/>
            <a:gd name="csY110" fmla="*/ 111443 h 342900"/>
            <a:gd name="csX111" fmla="*/ 200501 w 400075"/>
            <a:gd name="csY111" fmla="*/ 108585 h 342900"/>
            <a:gd name="csX112" fmla="*/ 200501 w 400075"/>
            <a:gd name="csY112" fmla="*/ 126682 h 342900"/>
            <a:gd name="csX113" fmla="*/ 181451 w 400075"/>
            <a:gd name="csY113" fmla="*/ 130016 h 342900"/>
            <a:gd name="csX114" fmla="*/ 143351 w 400075"/>
            <a:gd name="csY114" fmla="*/ 133350 h 342900"/>
            <a:gd name="csX115" fmla="*/ 143351 w 400075"/>
            <a:gd name="csY115" fmla="*/ 114300 h 342900"/>
            <a:gd name="csX116" fmla="*/ 162401 w 400075"/>
            <a:gd name="csY116" fmla="*/ 113348 h 342900"/>
            <a:gd name="csX117" fmla="*/ 162401 w 400075"/>
            <a:gd name="csY117" fmla="*/ 132398 h 342900"/>
            <a:gd name="csX118" fmla="*/ 143351 w 400075"/>
            <a:gd name="csY118" fmla="*/ 133350 h 342900"/>
            <a:gd name="csX119" fmla="*/ 105251 w 400075"/>
            <a:gd name="csY119" fmla="*/ 132398 h 342900"/>
            <a:gd name="csX120" fmla="*/ 105251 w 400075"/>
            <a:gd name="csY120" fmla="*/ 113348 h 342900"/>
            <a:gd name="csX121" fmla="*/ 124301 w 400075"/>
            <a:gd name="csY121" fmla="*/ 114300 h 342900"/>
            <a:gd name="csX122" fmla="*/ 124301 w 400075"/>
            <a:gd name="csY122" fmla="*/ 133350 h 342900"/>
            <a:gd name="csX123" fmla="*/ 105251 w 400075"/>
            <a:gd name="csY123" fmla="*/ 132398 h 342900"/>
            <a:gd name="csX124" fmla="*/ 352901 w 400075"/>
            <a:gd name="csY124" fmla="*/ 190500 h 342900"/>
            <a:gd name="csX125" fmla="*/ 248126 w 400075"/>
            <a:gd name="csY125" fmla="*/ 219075 h 342900"/>
            <a:gd name="csX126" fmla="*/ 143351 w 400075"/>
            <a:gd name="csY126" fmla="*/ 190500 h 342900"/>
            <a:gd name="csX127" fmla="*/ 248126 w 400075"/>
            <a:gd name="csY127" fmla="*/ 161925 h 342900"/>
            <a:gd name="csX128" fmla="*/ 352901 w 400075"/>
            <a:gd name="csY128" fmla="*/ 190500 h 342900"/>
            <a:gd name="csX129" fmla="*/ 381476 w 400075"/>
            <a:gd name="csY129" fmla="*/ 204788 h 342900"/>
            <a:gd name="csX130" fmla="*/ 381476 w 400075"/>
            <a:gd name="csY130" fmla="*/ 190500 h 342900"/>
            <a:gd name="csX131" fmla="*/ 329565 w 400075"/>
            <a:gd name="csY131" fmla="*/ 142875 h 342900"/>
            <a:gd name="csX132" fmla="*/ 285274 w 400075"/>
            <a:gd name="csY132" fmla="*/ 135255 h 342900"/>
            <a:gd name="csX133" fmla="*/ 285750 w 400075"/>
            <a:gd name="csY133" fmla="*/ 128588 h 342900"/>
            <a:gd name="csX134" fmla="*/ 266700 w 400075"/>
            <a:gd name="csY134" fmla="*/ 95250 h 342900"/>
            <a:gd name="csX135" fmla="*/ 266700 w 400075"/>
            <a:gd name="csY135" fmla="*/ 57150 h 342900"/>
            <a:gd name="csX136" fmla="*/ 214789 w 400075"/>
            <a:gd name="csY136" fmla="*/ 9525 h 342900"/>
            <a:gd name="csX137" fmla="*/ 133350 w 400075"/>
            <a:gd name="csY137" fmla="*/ 0 h 342900"/>
            <a:gd name="csX138" fmla="*/ 0 w 400075"/>
            <a:gd name="csY138" fmla="*/ 57150 h 342900"/>
            <a:gd name="csX139" fmla="*/ 0 w 400075"/>
            <a:gd name="csY139" fmla="*/ 104775 h 342900"/>
            <a:gd name="csX140" fmla="*/ 19050 w 400075"/>
            <a:gd name="csY140" fmla="*/ 138113 h 342900"/>
            <a:gd name="csX141" fmla="*/ 19050 w 400075"/>
            <a:gd name="csY141" fmla="*/ 147161 h 342900"/>
            <a:gd name="csX142" fmla="*/ 0 w 400075"/>
            <a:gd name="csY142" fmla="*/ 180975 h 342900"/>
            <a:gd name="csX143" fmla="*/ 0 w 400075"/>
            <a:gd name="csY143" fmla="*/ 228600 h 342900"/>
            <a:gd name="csX144" fmla="*/ 51911 w 400075"/>
            <a:gd name="csY144" fmla="*/ 276225 h 342900"/>
            <a:gd name="csX145" fmla="*/ 133350 w 400075"/>
            <a:gd name="csY145" fmla="*/ 285750 h 342900"/>
            <a:gd name="csX146" fmla="*/ 185261 w 400075"/>
            <a:gd name="csY146" fmla="*/ 333375 h 342900"/>
            <a:gd name="csX147" fmla="*/ 266700 w 400075"/>
            <a:gd name="csY147" fmla="*/ 342900 h 342900"/>
            <a:gd name="csX148" fmla="*/ 400050 w 400075"/>
            <a:gd name="csY148" fmla="*/ 285750 h 342900"/>
            <a:gd name="csX149" fmla="*/ 400050 w 400075"/>
            <a:gd name="csY149" fmla="*/ 238125 h 342900"/>
            <a:gd name="csX150" fmla="*/ 381476 w 400075"/>
            <a:gd name="csY150" fmla="*/ 204788 h 3429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 ang="0">
              <a:pos x="csX80" y="csY80"/>
            </a:cxn>
            <a:cxn ang="0">
              <a:pos x="csX81" y="csY81"/>
            </a:cxn>
            <a:cxn ang="0">
              <a:pos x="csX82" y="csY82"/>
            </a:cxn>
            <a:cxn ang="0">
              <a:pos x="csX83" y="csY83"/>
            </a:cxn>
            <a:cxn ang="0">
              <a:pos x="csX84" y="csY84"/>
            </a:cxn>
            <a:cxn ang="0">
              <a:pos x="csX85" y="csY85"/>
            </a:cxn>
            <a:cxn ang="0">
              <a:pos x="csX86" y="csY86"/>
            </a:cxn>
            <a:cxn ang="0">
              <a:pos x="csX87" y="csY87"/>
            </a:cxn>
            <a:cxn ang="0">
              <a:pos x="csX88" y="csY88"/>
            </a:cxn>
            <a:cxn ang="0">
              <a:pos x="csX89" y="csY89"/>
            </a:cxn>
            <a:cxn ang="0">
              <a:pos x="csX90" y="csY90"/>
            </a:cxn>
            <a:cxn ang="0">
              <a:pos x="csX91" y="csY91"/>
            </a:cxn>
            <a:cxn ang="0">
              <a:pos x="csX92" y="csY92"/>
            </a:cxn>
            <a:cxn ang="0">
              <a:pos x="csX93" y="csY93"/>
            </a:cxn>
            <a:cxn ang="0">
              <a:pos x="csX94" y="csY94"/>
            </a:cxn>
            <a:cxn ang="0">
              <a:pos x="csX95" y="csY95"/>
            </a:cxn>
            <a:cxn ang="0">
              <a:pos x="csX96" y="csY96"/>
            </a:cxn>
            <a:cxn ang="0">
              <a:pos x="csX97" y="csY97"/>
            </a:cxn>
            <a:cxn ang="0">
              <a:pos x="csX98" y="csY98"/>
            </a:cxn>
            <a:cxn ang="0">
              <a:pos x="csX99" y="csY99"/>
            </a:cxn>
            <a:cxn ang="0">
              <a:pos x="csX100" y="csY100"/>
            </a:cxn>
            <a:cxn ang="0">
              <a:pos x="csX101" y="csY101"/>
            </a:cxn>
            <a:cxn ang="0">
              <a:pos x="csX102" y="csY102"/>
            </a:cxn>
            <a:cxn ang="0">
              <a:pos x="csX103" y="csY103"/>
            </a:cxn>
            <a:cxn ang="0">
              <a:pos x="csX104" y="csY104"/>
            </a:cxn>
            <a:cxn ang="0">
              <a:pos x="csX105" y="csY105"/>
            </a:cxn>
            <a:cxn ang="0">
              <a:pos x="csX106" y="csY106"/>
            </a:cxn>
            <a:cxn ang="0">
              <a:pos x="csX107" y="csY107"/>
            </a:cxn>
            <a:cxn ang="0">
              <a:pos x="csX108" y="csY108"/>
            </a:cxn>
            <a:cxn ang="0">
              <a:pos x="csX109" y="csY109"/>
            </a:cxn>
            <a:cxn ang="0">
              <a:pos x="csX110" y="csY110"/>
            </a:cxn>
            <a:cxn ang="0">
              <a:pos x="csX111" y="csY111"/>
            </a:cxn>
            <a:cxn ang="0">
              <a:pos x="csX112" y="csY112"/>
            </a:cxn>
            <a:cxn ang="0">
              <a:pos x="csX113" y="csY113"/>
            </a:cxn>
            <a:cxn ang="0">
              <a:pos x="csX114" y="csY114"/>
            </a:cxn>
            <a:cxn ang="0">
              <a:pos x="csX115" y="csY115"/>
            </a:cxn>
            <a:cxn ang="0">
              <a:pos x="csX116" y="csY116"/>
            </a:cxn>
            <a:cxn ang="0">
              <a:pos x="csX117" y="csY117"/>
            </a:cxn>
            <a:cxn ang="0">
              <a:pos x="csX118" y="csY118"/>
            </a:cxn>
            <a:cxn ang="0">
              <a:pos x="csX119" y="csY119"/>
            </a:cxn>
            <a:cxn ang="0">
              <a:pos x="csX120" y="csY120"/>
            </a:cxn>
            <a:cxn ang="0">
              <a:pos x="csX121" y="csY121"/>
            </a:cxn>
            <a:cxn ang="0">
              <a:pos x="csX122" y="csY122"/>
            </a:cxn>
            <a:cxn ang="0">
              <a:pos x="csX123" y="csY123"/>
            </a:cxn>
            <a:cxn ang="0">
              <a:pos x="csX124" y="csY124"/>
            </a:cxn>
            <a:cxn ang="0">
              <a:pos x="csX125" y="csY125"/>
            </a:cxn>
            <a:cxn ang="0">
              <a:pos x="csX126" y="csY126"/>
            </a:cxn>
            <a:cxn ang="0">
              <a:pos x="csX127" y="csY127"/>
            </a:cxn>
            <a:cxn ang="0">
              <a:pos x="csX128" y="csY128"/>
            </a:cxn>
            <a:cxn ang="0">
              <a:pos x="csX129" y="csY129"/>
            </a:cxn>
            <a:cxn ang="0">
              <a:pos x="csX130" y="csY130"/>
            </a:cxn>
            <a:cxn ang="0">
              <a:pos x="csX131" y="csY131"/>
            </a:cxn>
            <a:cxn ang="0">
              <a:pos x="csX132" y="csY132"/>
            </a:cxn>
            <a:cxn ang="0">
              <a:pos x="csX133" y="csY133"/>
            </a:cxn>
            <a:cxn ang="0">
              <a:pos x="csX134" y="csY134"/>
            </a:cxn>
            <a:cxn ang="0">
              <a:pos x="csX135" y="csY135"/>
            </a:cxn>
            <a:cxn ang="0">
              <a:pos x="csX136" y="csY136"/>
            </a:cxn>
            <a:cxn ang="0">
              <a:pos x="csX137" y="csY137"/>
            </a:cxn>
            <a:cxn ang="0">
              <a:pos x="csX138" y="csY138"/>
            </a:cxn>
            <a:cxn ang="0">
              <a:pos x="csX139" y="csY139"/>
            </a:cxn>
            <a:cxn ang="0">
              <a:pos x="csX140" y="csY140"/>
            </a:cxn>
            <a:cxn ang="0">
              <a:pos x="csX141" y="csY141"/>
            </a:cxn>
            <a:cxn ang="0">
              <a:pos x="csX142" y="csY142"/>
            </a:cxn>
            <a:cxn ang="0">
              <a:pos x="csX143" y="csY143"/>
            </a:cxn>
            <a:cxn ang="0">
              <a:pos x="csX144" y="csY144"/>
            </a:cxn>
            <a:cxn ang="0">
              <a:pos x="csX145" y="csY145"/>
            </a:cxn>
            <a:cxn ang="0">
              <a:pos x="csX146" y="csY146"/>
            </a:cxn>
            <a:cxn ang="0">
              <a:pos x="csX147" y="csY147"/>
            </a:cxn>
            <a:cxn ang="0">
              <a:pos x="csX148" y="csY148"/>
            </a:cxn>
            <a:cxn ang="0">
              <a:pos x="csX149" y="csY149"/>
            </a:cxn>
            <a:cxn ang="0">
              <a:pos x="csX150" y="csY150"/>
            </a:cxn>
          </a:cxnLst>
          <a:rect l="l" t="t" r="r" b="b"/>
          <a:pathLst>
            <a:path w="400075" h="342900">
              <a:moveTo>
                <a:pt x="371951" y="285750"/>
              </a:moveTo>
              <a:cubicBezTo>
                <a:pt x="371951" y="291941"/>
                <a:pt x="364808" y="297656"/>
                <a:pt x="352901" y="301943"/>
              </a:cubicBezTo>
              <a:lnTo>
                <a:pt x="352901" y="284798"/>
              </a:lnTo>
              <a:cubicBezTo>
                <a:pt x="359569" y="282893"/>
                <a:pt x="366236" y="280035"/>
                <a:pt x="371951" y="277178"/>
              </a:cubicBezTo>
              <a:lnTo>
                <a:pt x="371951" y="285750"/>
              </a:lnTo>
              <a:close/>
              <a:moveTo>
                <a:pt x="333851" y="254318"/>
              </a:moveTo>
              <a:lnTo>
                <a:pt x="333851" y="237173"/>
              </a:lnTo>
              <a:cubicBezTo>
                <a:pt x="340519" y="235268"/>
                <a:pt x="347186" y="232410"/>
                <a:pt x="352901" y="229553"/>
              </a:cubicBezTo>
              <a:lnTo>
                <a:pt x="352901" y="238125"/>
              </a:lnTo>
              <a:cubicBezTo>
                <a:pt x="352901" y="244316"/>
                <a:pt x="345758" y="250031"/>
                <a:pt x="333851" y="254318"/>
              </a:cubicBezTo>
              <a:close/>
              <a:moveTo>
                <a:pt x="333851" y="307658"/>
              </a:moveTo>
              <a:cubicBezTo>
                <a:pt x="328136" y="309086"/>
                <a:pt x="321469" y="310039"/>
                <a:pt x="314801" y="310991"/>
              </a:cubicBezTo>
              <a:lnTo>
                <a:pt x="314801" y="292418"/>
              </a:lnTo>
              <a:cubicBezTo>
                <a:pt x="320993" y="291465"/>
                <a:pt x="327660" y="290513"/>
                <a:pt x="333851" y="289560"/>
              </a:cubicBezTo>
              <a:lnTo>
                <a:pt x="333851" y="307658"/>
              </a:lnTo>
              <a:close/>
              <a:moveTo>
                <a:pt x="295751" y="244793"/>
              </a:moveTo>
              <a:cubicBezTo>
                <a:pt x="301943" y="243840"/>
                <a:pt x="308610" y="242888"/>
                <a:pt x="314801" y="241935"/>
              </a:cubicBezTo>
              <a:lnTo>
                <a:pt x="314801" y="260033"/>
              </a:lnTo>
              <a:cubicBezTo>
                <a:pt x="309086" y="261461"/>
                <a:pt x="302419" y="262414"/>
                <a:pt x="295751" y="263366"/>
              </a:cubicBezTo>
              <a:lnTo>
                <a:pt x="295751" y="244793"/>
              </a:lnTo>
              <a:close/>
              <a:moveTo>
                <a:pt x="295751" y="313373"/>
              </a:moveTo>
              <a:cubicBezTo>
                <a:pt x="289560" y="313849"/>
                <a:pt x="283369" y="314325"/>
                <a:pt x="276701" y="314325"/>
              </a:cubicBezTo>
              <a:lnTo>
                <a:pt x="276701" y="295275"/>
              </a:lnTo>
              <a:cubicBezTo>
                <a:pt x="282416" y="295275"/>
                <a:pt x="289084" y="294799"/>
                <a:pt x="295751" y="294323"/>
              </a:cubicBezTo>
              <a:lnTo>
                <a:pt x="295751" y="313373"/>
              </a:lnTo>
              <a:close/>
              <a:moveTo>
                <a:pt x="257651" y="266700"/>
              </a:moveTo>
              <a:lnTo>
                <a:pt x="257651" y="247650"/>
              </a:lnTo>
              <a:cubicBezTo>
                <a:pt x="263366" y="247650"/>
                <a:pt x="270034" y="247174"/>
                <a:pt x="276701" y="246698"/>
              </a:cubicBezTo>
              <a:lnTo>
                <a:pt x="276701" y="265748"/>
              </a:lnTo>
              <a:cubicBezTo>
                <a:pt x="270510" y="266224"/>
                <a:pt x="264319" y="266224"/>
                <a:pt x="257651" y="266700"/>
              </a:cubicBezTo>
              <a:close/>
              <a:moveTo>
                <a:pt x="257651" y="314325"/>
              </a:moveTo>
              <a:cubicBezTo>
                <a:pt x="250984" y="314325"/>
                <a:pt x="244793" y="313849"/>
                <a:pt x="238601" y="313373"/>
              </a:cubicBezTo>
              <a:lnTo>
                <a:pt x="238601" y="295275"/>
              </a:lnTo>
              <a:cubicBezTo>
                <a:pt x="241935" y="295275"/>
                <a:pt x="244793" y="295275"/>
                <a:pt x="248126" y="295275"/>
              </a:cubicBezTo>
              <a:cubicBezTo>
                <a:pt x="250984" y="295275"/>
                <a:pt x="254318" y="295275"/>
                <a:pt x="257651" y="295275"/>
              </a:cubicBezTo>
              <a:lnTo>
                <a:pt x="257651" y="314325"/>
              </a:lnTo>
              <a:close/>
              <a:moveTo>
                <a:pt x="219551" y="246698"/>
              </a:moveTo>
              <a:cubicBezTo>
                <a:pt x="225743" y="247174"/>
                <a:pt x="231934" y="247650"/>
                <a:pt x="238601" y="247650"/>
              </a:cubicBezTo>
              <a:lnTo>
                <a:pt x="238601" y="266700"/>
              </a:lnTo>
              <a:cubicBezTo>
                <a:pt x="231934" y="266700"/>
                <a:pt x="225743" y="266224"/>
                <a:pt x="219551" y="265748"/>
              </a:cubicBezTo>
              <a:lnTo>
                <a:pt x="219551" y="246698"/>
              </a:lnTo>
              <a:close/>
              <a:moveTo>
                <a:pt x="219551" y="310991"/>
              </a:moveTo>
              <a:cubicBezTo>
                <a:pt x="212884" y="310039"/>
                <a:pt x="206216" y="309086"/>
                <a:pt x="200501" y="307658"/>
              </a:cubicBezTo>
              <a:lnTo>
                <a:pt x="200501" y="292418"/>
              </a:lnTo>
              <a:cubicBezTo>
                <a:pt x="206693" y="293370"/>
                <a:pt x="212884" y="293846"/>
                <a:pt x="219551" y="294323"/>
              </a:cubicBezTo>
              <a:lnTo>
                <a:pt x="219551" y="310991"/>
              </a:lnTo>
              <a:close/>
              <a:moveTo>
                <a:pt x="181451" y="260033"/>
              </a:moveTo>
              <a:lnTo>
                <a:pt x="181451" y="241459"/>
              </a:lnTo>
              <a:cubicBezTo>
                <a:pt x="187643" y="242411"/>
                <a:pt x="193834" y="243840"/>
                <a:pt x="200501" y="244316"/>
              </a:cubicBezTo>
              <a:lnTo>
                <a:pt x="200501" y="263366"/>
              </a:lnTo>
              <a:cubicBezTo>
                <a:pt x="193834" y="262414"/>
                <a:pt x="187166" y="261461"/>
                <a:pt x="181451" y="260033"/>
              </a:cubicBezTo>
              <a:close/>
              <a:moveTo>
                <a:pt x="181451" y="301943"/>
              </a:moveTo>
              <a:cubicBezTo>
                <a:pt x="169545" y="297180"/>
                <a:pt x="162401" y="291465"/>
                <a:pt x="162401" y="285750"/>
              </a:cubicBezTo>
              <a:lnTo>
                <a:pt x="162401" y="284798"/>
              </a:lnTo>
              <a:cubicBezTo>
                <a:pt x="162401" y="284798"/>
                <a:pt x="162401" y="284798"/>
                <a:pt x="162878" y="284798"/>
              </a:cubicBezTo>
              <a:cubicBezTo>
                <a:pt x="164306" y="285274"/>
                <a:pt x="165259" y="285750"/>
                <a:pt x="166688" y="285750"/>
              </a:cubicBezTo>
              <a:cubicBezTo>
                <a:pt x="171450" y="287179"/>
                <a:pt x="176213" y="288131"/>
                <a:pt x="181451" y="289084"/>
              </a:cubicBezTo>
              <a:lnTo>
                <a:pt x="181451" y="301943"/>
              </a:lnTo>
              <a:close/>
              <a:moveTo>
                <a:pt x="105251" y="237173"/>
              </a:moveTo>
              <a:cubicBezTo>
                <a:pt x="108585" y="237173"/>
                <a:pt x="111442" y="237649"/>
                <a:pt x="114776" y="237649"/>
              </a:cubicBezTo>
              <a:lnTo>
                <a:pt x="114776" y="238125"/>
              </a:lnTo>
              <a:cubicBezTo>
                <a:pt x="114776" y="244793"/>
                <a:pt x="116205" y="251460"/>
                <a:pt x="119539" y="256699"/>
              </a:cubicBezTo>
              <a:cubicBezTo>
                <a:pt x="114776" y="256699"/>
                <a:pt x="110014" y="256223"/>
                <a:pt x="105251" y="255746"/>
              </a:cubicBezTo>
              <a:lnTo>
                <a:pt x="105251" y="237173"/>
              </a:lnTo>
              <a:close/>
              <a:moveTo>
                <a:pt x="86201" y="180023"/>
              </a:moveTo>
              <a:cubicBezTo>
                <a:pt x="92392" y="180975"/>
                <a:pt x="98584" y="182404"/>
                <a:pt x="105251" y="182880"/>
              </a:cubicBezTo>
              <a:lnTo>
                <a:pt x="105251" y="201930"/>
              </a:lnTo>
              <a:cubicBezTo>
                <a:pt x="98584" y="200978"/>
                <a:pt x="91916" y="200025"/>
                <a:pt x="86201" y="198596"/>
              </a:cubicBezTo>
              <a:lnTo>
                <a:pt x="86201" y="180023"/>
              </a:lnTo>
              <a:close/>
              <a:moveTo>
                <a:pt x="86201" y="253841"/>
              </a:moveTo>
              <a:cubicBezTo>
                <a:pt x="79534" y="252889"/>
                <a:pt x="72866" y="251936"/>
                <a:pt x="67151" y="250508"/>
              </a:cubicBezTo>
              <a:lnTo>
                <a:pt x="67151" y="231934"/>
              </a:lnTo>
              <a:cubicBezTo>
                <a:pt x="73342" y="232886"/>
                <a:pt x="79534" y="234315"/>
                <a:pt x="86201" y="234791"/>
              </a:cubicBezTo>
              <a:lnTo>
                <a:pt x="86201" y="253841"/>
              </a:lnTo>
              <a:close/>
              <a:moveTo>
                <a:pt x="48101" y="176213"/>
              </a:moveTo>
              <a:lnTo>
                <a:pt x="48101" y="167640"/>
              </a:lnTo>
              <a:cubicBezTo>
                <a:pt x="53816" y="170498"/>
                <a:pt x="60008" y="172879"/>
                <a:pt x="67151" y="174784"/>
              </a:cubicBezTo>
              <a:lnTo>
                <a:pt x="67151" y="192405"/>
              </a:lnTo>
              <a:cubicBezTo>
                <a:pt x="55245" y="188119"/>
                <a:pt x="48101" y="182404"/>
                <a:pt x="48101" y="176213"/>
              </a:cubicBezTo>
              <a:close/>
              <a:moveTo>
                <a:pt x="48101" y="244793"/>
              </a:moveTo>
              <a:cubicBezTo>
                <a:pt x="36195" y="240030"/>
                <a:pt x="29051" y="234315"/>
                <a:pt x="29051" y="228600"/>
              </a:cubicBezTo>
              <a:lnTo>
                <a:pt x="29051" y="220028"/>
              </a:lnTo>
              <a:cubicBezTo>
                <a:pt x="34766" y="222885"/>
                <a:pt x="40958" y="225266"/>
                <a:pt x="48101" y="227171"/>
              </a:cubicBezTo>
              <a:lnTo>
                <a:pt x="48101" y="244793"/>
              </a:lnTo>
              <a:close/>
              <a:moveTo>
                <a:pt x="29051" y="96203"/>
              </a:moveTo>
              <a:cubicBezTo>
                <a:pt x="34766" y="99060"/>
                <a:pt x="40958" y="101441"/>
                <a:pt x="48101" y="103346"/>
              </a:cubicBezTo>
              <a:lnTo>
                <a:pt x="48101" y="120968"/>
              </a:lnTo>
              <a:cubicBezTo>
                <a:pt x="36195" y="116205"/>
                <a:pt x="29051" y="110490"/>
                <a:pt x="29051" y="104775"/>
              </a:cubicBezTo>
              <a:lnTo>
                <a:pt x="29051" y="96203"/>
              </a:lnTo>
              <a:close/>
              <a:moveTo>
                <a:pt x="86201" y="111443"/>
              </a:moveTo>
              <a:lnTo>
                <a:pt x="86201" y="130493"/>
              </a:lnTo>
              <a:cubicBezTo>
                <a:pt x="79534" y="129540"/>
                <a:pt x="72866" y="128588"/>
                <a:pt x="67151" y="127159"/>
              </a:cubicBezTo>
              <a:lnTo>
                <a:pt x="67151" y="108585"/>
              </a:lnTo>
              <a:cubicBezTo>
                <a:pt x="73342" y="109538"/>
                <a:pt x="79534" y="110490"/>
                <a:pt x="86201" y="111443"/>
              </a:cubicBezTo>
              <a:close/>
              <a:moveTo>
                <a:pt x="133826" y="28575"/>
              </a:moveTo>
              <a:cubicBezTo>
                <a:pt x="191929" y="28575"/>
                <a:pt x="238601" y="41434"/>
                <a:pt x="238601" y="57150"/>
              </a:cubicBezTo>
              <a:cubicBezTo>
                <a:pt x="238601" y="72866"/>
                <a:pt x="191929" y="85725"/>
                <a:pt x="133826" y="85725"/>
              </a:cubicBezTo>
              <a:cubicBezTo>
                <a:pt x="75724" y="85725"/>
                <a:pt x="29051" y="72866"/>
                <a:pt x="29051" y="57150"/>
              </a:cubicBezTo>
              <a:cubicBezTo>
                <a:pt x="29051" y="41434"/>
                <a:pt x="75724" y="28575"/>
                <a:pt x="133826" y="28575"/>
              </a:cubicBezTo>
              <a:close/>
              <a:moveTo>
                <a:pt x="162401" y="254318"/>
              </a:moveTo>
              <a:cubicBezTo>
                <a:pt x="150495" y="249555"/>
                <a:pt x="143351" y="243840"/>
                <a:pt x="143351" y="238125"/>
              </a:cubicBezTo>
              <a:lnTo>
                <a:pt x="143351" y="229553"/>
              </a:lnTo>
              <a:cubicBezTo>
                <a:pt x="149066" y="232410"/>
                <a:pt x="155258" y="234791"/>
                <a:pt x="162401" y="236696"/>
              </a:cubicBezTo>
              <a:lnTo>
                <a:pt x="162401" y="254318"/>
              </a:lnTo>
              <a:close/>
              <a:moveTo>
                <a:pt x="219551" y="120968"/>
              </a:moveTo>
              <a:lnTo>
                <a:pt x="219551" y="103823"/>
              </a:lnTo>
              <a:cubicBezTo>
                <a:pt x="226219" y="101918"/>
                <a:pt x="232886" y="99060"/>
                <a:pt x="238601" y="96203"/>
              </a:cubicBezTo>
              <a:lnTo>
                <a:pt x="238601" y="104775"/>
              </a:lnTo>
              <a:cubicBezTo>
                <a:pt x="238601" y="110966"/>
                <a:pt x="231458" y="116681"/>
                <a:pt x="219551" y="120968"/>
              </a:cubicBezTo>
              <a:close/>
              <a:moveTo>
                <a:pt x="181451" y="130016"/>
              </a:moveTo>
              <a:lnTo>
                <a:pt x="181451" y="111443"/>
              </a:lnTo>
              <a:cubicBezTo>
                <a:pt x="187643" y="110490"/>
                <a:pt x="194310" y="109538"/>
                <a:pt x="200501" y="108585"/>
              </a:cubicBezTo>
              <a:lnTo>
                <a:pt x="200501" y="126682"/>
              </a:lnTo>
              <a:cubicBezTo>
                <a:pt x="194786" y="128111"/>
                <a:pt x="188119" y="129064"/>
                <a:pt x="181451" y="130016"/>
              </a:cubicBezTo>
              <a:close/>
              <a:moveTo>
                <a:pt x="143351" y="133350"/>
              </a:moveTo>
              <a:lnTo>
                <a:pt x="143351" y="114300"/>
              </a:lnTo>
              <a:cubicBezTo>
                <a:pt x="149066" y="114300"/>
                <a:pt x="155734" y="113824"/>
                <a:pt x="162401" y="113348"/>
              </a:cubicBezTo>
              <a:lnTo>
                <a:pt x="162401" y="132398"/>
              </a:lnTo>
              <a:cubicBezTo>
                <a:pt x="156210" y="132874"/>
                <a:pt x="150019" y="132874"/>
                <a:pt x="143351" y="133350"/>
              </a:cubicBezTo>
              <a:close/>
              <a:moveTo>
                <a:pt x="105251" y="132398"/>
              </a:moveTo>
              <a:lnTo>
                <a:pt x="105251" y="113348"/>
              </a:lnTo>
              <a:cubicBezTo>
                <a:pt x="111442" y="113824"/>
                <a:pt x="117634" y="114300"/>
                <a:pt x="124301" y="114300"/>
              </a:cubicBezTo>
              <a:lnTo>
                <a:pt x="124301" y="133350"/>
              </a:lnTo>
              <a:cubicBezTo>
                <a:pt x="117634" y="132874"/>
                <a:pt x="111442" y="132874"/>
                <a:pt x="105251" y="132398"/>
              </a:cubicBezTo>
              <a:close/>
              <a:moveTo>
                <a:pt x="352901" y="190500"/>
              </a:moveTo>
              <a:cubicBezTo>
                <a:pt x="352901" y="206216"/>
                <a:pt x="306229" y="219075"/>
                <a:pt x="248126" y="219075"/>
              </a:cubicBezTo>
              <a:cubicBezTo>
                <a:pt x="190024" y="219075"/>
                <a:pt x="143351" y="206216"/>
                <a:pt x="143351" y="190500"/>
              </a:cubicBezTo>
              <a:cubicBezTo>
                <a:pt x="143351" y="174784"/>
                <a:pt x="190024" y="161925"/>
                <a:pt x="248126" y="161925"/>
              </a:cubicBezTo>
              <a:cubicBezTo>
                <a:pt x="306229" y="161925"/>
                <a:pt x="352901" y="174784"/>
                <a:pt x="352901" y="190500"/>
              </a:cubicBezTo>
              <a:close/>
              <a:moveTo>
                <a:pt x="381476" y="204788"/>
              </a:moveTo>
              <a:lnTo>
                <a:pt x="381476" y="190500"/>
              </a:lnTo>
              <a:cubicBezTo>
                <a:pt x="381476" y="168116"/>
                <a:pt x="363855" y="151924"/>
                <a:pt x="329565" y="142875"/>
              </a:cubicBezTo>
              <a:cubicBezTo>
                <a:pt x="316706" y="139541"/>
                <a:pt x="301943" y="136684"/>
                <a:pt x="285274" y="135255"/>
              </a:cubicBezTo>
              <a:cubicBezTo>
                <a:pt x="285750" y="133350"/>
                <a:pt x="285750" y="130969"/>
                <a:pt x="285750" y="128588"/>
              </a:cubicBezTo>
              <a:cubicBezTo>
                <a:pt x="285750" y="115253"/>
                <a:pt x="279559" y="103823"/>
                <a:pt x="266700" y="95250"/>
              </a:cubicBezTo>
              <a:lnTo>
                <a:pt x="266700" y="57150"/>
              </a:lnTo>
              <a:cubicBezTo>
                <a:pt x="266700" y="34766"/>
                <a:pt x="249079" y="18574"/>
                <a:pt x="214789" y="9525"/>
              </a:cubicBezTo>
              <a:cubicBezTo>
                <a:pt x="192405" y="3334"/>
                <a:pt x="163830" y="0"/>
                <a:pt x="133350" y="0"/>
              </a:cubicBezTo>
              <a:cubicBezTo>
                <a:pt x="93345" y="0"/>
                <a:pt x="0" y="5715"/>
                <a:pt x="0" y="57150"/>
              </a:cubicBezTo>
              <a:lnTo>
                <a:pt x="0" y="104775"/>
              </a:lnTo>
              <a:cubicBezTo>
                <a:pt x="0" y="118110"/>
                <a:pt x="6191" y="129540"/>
                <a:pt x="19050" y="138113"/>
              </a:cubicBezTo>
              <a:lnTo>
                <a:pt x="19050" y="147161"/>
              </a:lnTo>
              <a:cubicBezTo>
                <a:pt x="7620" y="155258"/>
                <a:pt x="0" y="166211"/>
                <a:pt x="0" y="180975"/>
              </a:cubicBezTo>
              <a:lnTo>
                <a:pt x="0" y="228600"/>
              </a:lnTo>
              <a:cubicBezTo>
                <a:pt x="0" y="250984"/>
                <a:pt x="17621" y="267176"/>
                <a:pt x="51911" y="276225"/>
              </a:cubicBezTo>
              <a:cubicBezTo>
                <a:pt x="74295" y="282416"/>
                <a:pt x="102870" y="285750"/>
                <a:pt x="133350" y="285750"/>
              </a:cubicBezTo>
              <a:cubicBezTo>
                <a:pt x="133350" y="308134"/>
                <a:pt x="150971" y="324326"/>
                <a:pt x="185261" y="333375"/>
              </a:cubicBezTo>
              <a:cubicBezTo>
                <a:pt x="207645" y="339566"/>
                <a:pt x="236220" y="342900"/>
                <a:pt x="266700" y="342900"/>
              </a:cubicBezTo>
              <a:cubicBezTo>
                <a:pt x="306705" y="342900"/>
                <a:pt x="400050" y="337185"/>
                <a:pt x="400050" y="285750"/>
              </a:cubicBezTo>
              <a:lnTo>
                <a:pt x="400050" y="238125"/>
              </a:lnTo>
              <a:cubicBezTo>
                <a:pt x="400526" y="224790"/>
                <a:pt x="394335" y="213360"/>
                <a:pt x="381476" y="204788"/>
              </a:cubicBezTo>
              <a:close/>
            </a:path>
          </a:pathLst>
        </a:custGeom>
        <a:solidFill>
          <a:schemeClr val="tx2">
            <a:lumMod val="90000"/>
            <a:lumOff val="10000"/>
          </a:schemeClr>
        </a:solidFill>
        <a:ln w="4763" cap="flat">
          <a:noFill/>
          <a:prstDash val="solid"/>
          <a:miter/>
        </a:ln>
      </xdr:spPr>
    </xdr:sp>
    <xdr:clientData/>
  </xdr:twoCellAnchor>
  <xdr:twoCellAnchor>
    <xdr:from>
      <xdr:col>9</xdr:col>
      <xdr:colOff>72800</xdr:colOff>
      <xdr:row>7</xdr:row>
      <xdr:rowOff>11983</xdr:rowOff>
    </xdr:from>
    <xdr:to>
      <xdr:col>9</xdr:col>
      <xdr:colOff>512855</xdr:colOff>
      <xdr:row>9</xdr:row>
      <xdr:rowOff>174525</xdr:rowOff>
    </xdr:to>
    <xdr:grpSp>
      <xdr:nvGrpSpPr>
        <xdr:cNvPr id="42" name="Graphic 40" descr="Box with solid fill">
          <a:extLst>
            <a:ext uri="{FF2B5EF4-FFF2-40B4-BE49-F238E27FC236}">
              <a16:creationId xmlns:a16="http://schemas.microsoft.com/office/drawing/2014/main" id="{655A638F-9DC5-2521-E4F8-47E3B3AC24BC}"/>
            </a:ext>
          </a:extLst>
        </xdr:cNvPr>
        <xdr:cNvGrpSpPr/>
      </xdr:nvGrpSpPr>
      <xdr:grpSpPr>
        <a:xfrm>
          <a:off x="5542871" y="1281983"/>
          <a:ext cx="440055" cy="525399"/>
          <a:chOff x="5542871" y="1281983"/>
          <a:chExt cx="440055" cy="525399"/>
        </a:xfrm>
        <a:solidFill>
          <a:schemeClr val="tx2">
            <a:lumMod val="90000"/>
            <a:lumOff val="10000"/>
          </a:schemeClr>
        </a:solidFill>
      </xdr:grpSpPr>
      <xdr:sp macro="" textlink="">
        <xdr:nvSpPr>
          <xdr:cNvPr id="43" name="Free-form: Shape 42">
            <a:extLst>
              <a:ext uri="{FF2B5EF4-FFF2-40B4-BE49-F238E27FC236}">
                <a16:creationId xmlns:a16="http://schemas.microsoft.com/office/drawing/2014/main" id="{323DF450-D45C-E939-84DD-E4BC9EAC4055}"/>
              </a:ext>
            </a:extLst>
          </xdr:cNvPr>
          <xdr:cNvSpPr/>
        </xdr:nvSpPr>
        <xdr:spPr>
          <a:xfrm>
            <a:off x="5542871" y="1354659"/>
            <a:ext cx="320040" cy="194024"/>
          </a:xfrm>
          <a:custGeom>
            <a:avLst/>
            <a:gdLst>
              <a:gd name="csX0" fmla="*/ 100013 w 320040"/>
              <a:gd name="csY0" fmla="*/ 0 h 194024"/>
              <a:gd name="csX1" fmla="*/ 0 w 320040"/>
              <a:gd name="csY1" fmla="*/ 60674 h 194024"/>
              <a:gd name="csX2" fmla="*/ 220028 w 320040"/>
              <a:gd name="csY2" fmla="*/ 194024 h 194024"/>
              <a:gd name="csX3" fmla="*/ 320040 w 320040"/>
              <a:gd name="csY3" fmla="*/ 133350 h 194024"/>
            </a:gdLst>
            <a:ahLst/>
            <a:cxnLst>
              <a:cxn ang="0">
                <a:pos x="csX0" y="csY0"/>
              </a:cxn>
              <a:cxn ang="0">
                <a:pos x="csX1" y="csY1"/>
              </a:cxn>
              <a:cxn ang="0">
                <a:pos x="csX2" y="csY2"/>
              </a:cxn>
              <a:cxn ang="0">
                <a:pos x="csX3" y="csY3"/>
              </a:cxn>
            </a:cxnLst>
            <a:rect l="l" t="t" r="r" b="b"/>
            <a:pathLst>
              <a:path w="320040" h="194024">
                <a:moveTo>
                  <a:pt x="100013" y="0"/>
                </a:moveTo>
                <a:lnTo>
                  <a:pt x="0" y="60674"/>
                </a:lnTo>
                <a:lnTo>
                  <a:pt x="220028" y="194024"/>
                </a:lnTo>
                <a:lnTo>
                  <a:pt x="320040" y="133350"/>
                </a:lnTo>
                <a:close/>
              </a:path>
            </a:pathLst>
          </a:custGeom>
          <a:solidFill>
            <a:schemeClr val="tx2">
              <a:lumMod val="90000"/>
              <a:lumOff val="10000"/>
            </a:schemeClr>
          </a:solidFill>
          <a:ln w="6648" cap="flat">
            <a:noFill/>
            <a:prstDash val="solid"/>
            <a:miter/>
          </a:ln>
        </xdr:spPr>
      </xdr:sp>
      <xdr:sp macro="" textlink="">
        <xdr:nvSpPr>
          <xdr:cNvPr id="44" name="Free-form: Shape 43">
            <a:extLst>
              <a:ext uri="{FF2B5EF4-FFF2-40B4-BE49-F238E27FC236}">
                <a16:creationId xmlns:a16="http://schemas.microsoft.com/office/drawing/2014/main" id="{F2FE9E27-AE41-34C8-EBD0-0FD111D67EDC}"/>
              </a:ext>
            </a:extLst>
          </xdr:cNvPr>
          <xdr:cNvSpPr/>
        </xdr:nvSpPr>
        <xdr:spPr>
          <a:xfrm>
            <a:off x="5668220" y="1281983"/>
            <a:ext cx="314706" cy="190690"/>
          </a:xfrm>
          <a:custGeom>
            <a:avLst/>
            <a:gdLst>
              <a:gd name="csX0" fmla="*/ 314706 w 314706"/>
              <a:gd name="csY0" fmla="*/ 133350 h 190690"/>
              <a:gd name="csX1" fmla="*/ 94679 w 314706"/>
              <a:gd name="csY1" fmla="*/ 0 h 190690"/>
              <a:gd name="csX2" fmla="*/ 0 w 314706"/>
              <a:gd name="csY2" fmla="*/ 57341 h 190690"/>
              <a:gd name="csX3" fmla="*/ 220028 w 314706"/>
              <a:gd name="csY3" fmla="*/ 190691 h 190690"/>
            </a:gdLst>
            <a:ahLst/>
            <a:cxnLst>
              <a:cxn ang="0">
                <a:pos x="csX0" y="csY0"/>
              </a:cxn>
              <a:cxn ang="0">
                <a:pos x="csX1" y="csY1"/>
              </a:cxn>
              <a:cxn ang="0">
                <a:pos x="csX2" y="csY2"/>
              </a:cxn>
              <a:cxn ang="0">
                <a:pos x="csX3" y="csY3"/>
              </a:cxn>
            </a:cxnLst>
            <a:rect l="l" t="t" r="r" b="b"/>
            <a:pathLst>
              <a:path w="314706" h="190690">
                <a:moveTo>
                  <a:pt x="314706" y="133350"/>
                </a:moveTo>
                <a:lnTo>
                  <a:pt x="94679" y="0"/>
                </a:lnTo>
                <a:lnTo>
                  <a:pt x="0" y="57341"/>
                </a:lnTo>
                <a:lnTo>
                  <a:pt x="220028" y="190691"/>
                </a:lnTo>
                <a:close/>
              </a:path>
            </a:pathLst>
          </a:custGeom>
          <a:solidFill>
            <a:schemeClr val="tx2">
              <a:lumMod val="90000"/>
              <a:lumOff val="10000"/>
            </a:schemeClr>
          </a:solidFill>
          <a:ln w="6648" cap="flat">
            <a:noFill/>
            <a:prstDash val="solid"/>
            <a:miter/>
          </a:ln>
        </xdr:spPr>
      </xdr:sp>
      <xdr:sp macro="" textlink="">
        <xdr:nvSpPr>
          <xdr:cNvPr id="45" name="Free-form: Shape 44">
            <a:extLst>
              <a:ext uri="{FF2B5EF4-FFF2-40B4-BE49-F238E27FC236}">
                <a16:creationId xmlns:a16="http://schemas.microsoft.com/office/drawing/2014/main" id="{BD742102-E839-A077-A7D8-76A2B184202A}"/>
              </a:ext>
            </a:extLst>
          </xdr:cNvPr>
          <xdr:cNvSpPr/>
        </xdr:nvSpPr>
        <xdr:spPr>
          <a:xfrm>
            <a:off x="5542871" y="1446670"/>
            <a:ext cx="206692" cy="360711"/>
          </a:xfrm>
          <a:custGeom>
            <a:avLst/>
            <a:gdLst>
              <a:gd name="csX0" fmla="*/ 0 w 206692"/>
              <a:gd name="csY0" fmla="*/ 22003 h 360711"/>
              <a:gd name="csX1" fmla="*/ 0 w 206692"/>
              <a:gd name="csY1" fmla="*/ 235363 h 360711"/>
              <a:gd name="csX2" fmla="*/ 206693 w 206692"/>
              <a:gd name="csY2" fmla="*/ 360712 h 360711"/>
              <a:gd name="csX3" fmla="*/ 206693 w 206692"/>
              <a:gd name="csY3" fmla="*/ 125349 h 360711"/>
              <a:gd name="csX4" fmla="*/ 0 w 206692"/>
              <a:gd name="csY4" fmla="*/ 0 h 360711"/>
            </a:gdLst>
            <a:ahLst/>
            <a:cxnLst>
              <a:cxn ang="0">
                <a:pos x="csX0" y="csY0"/>
              </a:cxn>
              <a:cxn ang="0">
                <a:pos x="csX1" y="csY1"/>
              </a:cxn>
              <a:cxn ang="0">
                <a:pos x="csX2" y="csY2"/>
              </a:cxn>
              <a:cxn ang="0">
                <a:pos x="csX3" y="csY3"/>
              </a:cxn>
              <a:cxn ang="0">
                <a:pos x="csX4" y="csY4"/>
              </a:cxn>
            </a:cxnLst>
            <a:rect l="l" t="t" r="r" b="b"/>
            <a:pathLst>
              <a:path w="206692" h="360711">
                <a:moveTo>
                  <a:pt x="0" y="22003"/>
                </a:moveTo>
                <a:lnTo>
                  <a:pt x="0" y="235363"/>
                </a:lnTo>
                <a:lnTo>
                  <a:pt x="206693" y="360712"/>
                </a:lnTo>
                <a:lnTo>
                  <a:pt x="206693" y="125349"/>
                </a:lnTo>
                <a:lnTo>
                  <a:pt x="0" y="0"/>
                </a:lnTo>
                <a:close/>
              </a:path>
            </a:pathLst>
          </a:custGeom>
          <a:solidFill>
            <a:schemeClr val="tx2">
              <a:lumMod val="90000"/>
              <a:lumOff val="10000"/>
            </a:schemeClr>
          </a:solidFill>
          <a:ln w="6648" cap="flat">
            <a:noFill/>
            <a:prstDash val="solid"/>
            <a:miter/>
          </a:ln>
        </xdr:spPr>
      </xdr:sp>
      <xdr:sp macro="" textlink="">
        <xdr:nvSpPr>
          <xdr:cNvPr id="46" name="Free-form: Shape 45">
            <a:extLst>
              <a:ext uri="{FF2B5EF4-FFF2-40B4-BE49-F238E27FC236}">
                <a16:creationId xmlns:a16="http://schemas.microsoft.com/office/drawing/2014/main" id="{A1DB0415-89C6-C93A-AB5E-0692550A2010}"/>
              </a:ext>
            </a:extLst>
          </xdr:cNvPr>
          <xdr:cNvSpPr/>
        </xdr:nvSpPr>
        <xdr:spPr>
          <a:xfrm>
            <a:off x="5776234" y="1446670"/>
            <a:ext cx="206692" cy="360711"/>
          </a:xfrm>
          <a:custGeom>
            <a:avLst/>
            <a:gdLst>
              <a:gd name="csX0" fmla="*/ 73343 w 206692"/>
              <a:gd name="csY0" fmla="*/ 162020 h 360711"/>
              <a:gd name="csX1" fmla="*/ 26670 w 206692"/>
              <a:gd name="csY1" fmla="*/ 188690 h 360711"/>
              <a:gd name="csX2" fmla="*/ 26670 w 206692"/>
              <a:gd name="csY2" fmla="*/ 142018 h 360711"/>
              <a:gd name="csX3" fmla="*/ 73343 w 206692"/>
              <a:gd name="csY3" fmla="*/ 115348 h 360711"/>
              <a:gd name="csX4" fmla="*/ 73343 w 206692"/>
              <a:gd name="csY4" fmla="*/ 162020 h 360711"/>
              <a:gd name="csX5" fmla="*/ 0 w 206692"/>
              <a:gd name="csY5" fmla="*/ 125349 h 360711"/>
              <a:gd name="csX6" fmla="*/ 0 w 206692"/>
              <a:gd name="csY6" fmla="*/ 360712 h 360711"/>
              <a:gd name="csX7" fmla="*/ 206693 w 206692"/>
              <a:gd name="csY7" fmla="*/ 235363 h 360711"/>
              <a:gd name="csX8" fmla="*/ 206693 w 206692"/>
              <a:gd name="csY8" fmla="*/ 0 h 360711"/>
              <a:gd name="csX9" fmla="*/ 0 w 206692"/>
              <a:gd name="csY9" fmla="*/ 125349 h 36071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206692" h="360711">
                <a:moveTo>
                  <a:pt x="73343" y="162020"/>
                </a:moveTo>
                <a:lnTo>
                  <a:pt x="26670" y="188690"/>
                </a:lnTo>
                <a:lnTo>
                  <a:pt x="26670" y="142018"/>
                </a:lnTo>
                <a:lnTo>
                  <a:pt x="73343" y="115348"/>
                </a:lnTo>
                <a:lnTo>
                  <a:pt x="73343" y="162020"/>
                </a:lnTo>
                <a:close/>
                <a:moveTo>
                  <a:pt x="0" y="125349"/>
                </a:moveTo>
                <a:lnTo>
                  <a:pt x="0" y="360712"/>
                </a:lnTo>
                <a:lnTo>
                  <a:pt x="206693" y="235363"/>
                </a:lnTo>
                <a:lnTo>
                  <a:pt x="206693" y="0"/>
                </a:lnTo>
                <a:lnTo>
                  <a:pt x="0" y="125349"/>
                </a:lnTo>
                <a:close/>
              </a:path>
            </a:pathLst>
          </a:custGeom>
          <a:solidFill>
            <a:schemeClr val="tx2">
              <a:lumMod val="90000"/>
              <a:lumOff val="10000"/>
            </a:schemeClr>
          </a:solidFill>
          <a:ln w="6648" cap="flat">
            <a:noFill/>
            <a:prstDash val="solid"/>
            <a:miter/>
          </a:ln>
        </xdr:spPr>
      </xdr:sp>
    </xdr:grpSp>
    <xdr:clientData/>
  </xdr:twoCellAnchor>
  <xdr:twoCellAnchor>
    <xdr:from>
      <xdr:col>15</xdr:col>
      <xdr:colOff>54249</xdr:colOff>
      <xdr:row>7</xdr:row>
      <xdr:rowOff>127815</xdr:rowOff>
    </xdr:from>
    <xdr:to>
      <xdr:col>15</xdr:col>
      <xdr:colOff>77109</xdr:colOff>
      <xdr:row>7</xdr:row>
      <xdr:rowOff>150675</xdr:rowOff>
    </xdr:to>
    <xdr:sp macro="" textlink="">
      <xdr:nvSpPr>
        <xdr:cNvPr id="50" name="Oval 49">
          <a:extLst>
            <a:ext uri="{FF2B5EF4-FFF2-40B4-BE49-F238E27FC236}">
              <a16:creationId xmlns:a16="http://schemas.microsoft.com/office/drawing/2014/main" id="{FBFD93B1-69A1-64FC-7889-9545CE32AD72}"/>
            </a:ext>
          </a:extLst>
        </xdr:cNvPr>
        <xdr:cNvSpPr/>
      </xdr:nvSpPr>
      <xdr:spPr>
        <a:xfrm>
          <a:off x="9171035" y="1397815"/>
          <a:ext cx="22860" cy="22860"/>
        </a:xfrm>
        <a:prstGeom prst="ellipse">
          <a:avLst/>
        </a:prstGeom>
        <a:solidFill>
          <a:schemeClr val="tx2">
            <a:lumMod val="90000"/>
            <a:lumOff val="10000"/>
          </a:schemeClr>
        </a:solidFill>
        <a:ln w="5655" cap="flat">
          <a:noFill/>
          <a:prstDash val="solid"/>
          <a:miter/>
        </a:ln>
      </xdr:spPr>
    </xdr:sp>
    <xdr:clientData/>
  </xdr:twoCellAnchor>
  <xdr:twoCellAnchor>
    <xdr:from>
      <xdr:col>15</xdr:col>
      <xdr:colOff>54249</xdr:colOff>
      <xdr:row>8</xdr:row>
      <xdr:rowOff>174986</xdr:rowOff>
    </xdr:from>
    <xdr:to>
      <xdr:col>15</xdr:col>
      <xdr:colOff>77109</xdr:colOff>
      <xdr:row>9</xdr:row>
      <xdr:rowOff>16418</xdr:rowOff>
    </xdr:to>
    <xdr:sp macro="" textlink="">
      <xdr:nvSpPr>
        <xdr:cNvPr id="51" name="Oval 50">
          <a:extLst>
            <a:ext uri="{FF2B5EF4-FFF2-40B4-BE49-F238E27FC236}">
              <a16:creationId xmlns:a16="http://schemas.microsoft.com/office/drawing/2014/main" id="{E5E8AC51-803D-BD74-A131-ADB33015DAD1}"/>
            </a:ext>
          </a:extLst>
        </xdr:cNvPr>
        <xdr:cNvSpPr/>
      </xdr:nvSpPr>
      <xdr:spPr>
        <a:xfrm>
          <a:off x="9171035" y="1626415"/>
          <a:ext cx="22860" cy="22860"/>
        </a:xfrm>
        <a:prstGeom prst="ellipse">
          <a:avLst/>
        </a:prstGeom>
        <a:solidFill>
          <a:schemeClr val="tx2">
            <a:lumMod val="90000"/>
            <a:lumOff val="10000"/>
          </a:schemeClr>
        </a:solidFill>
        <a:ln w="5655" cap="flat">
          <a:noFill/>
          <a:prstDash val="solid"/>
          <a:miter/>
        </a:ln>
      </xdr:spPr>
    </xdr:sp>
    <xdr:clientData/>
  </xdr:twoCellAnchor>
  <xdr:twoCellAnchor>
    <xdr:from>
      <xdr:col>15</xdr:col>
      <xdr:colOff>168549</xdr:colOff>
      <xdr:row>8</xdr:row>
      <xdr:rowOff>54971</xdr:rowOff>
    </xdr:from>
    <xdr:to>
      <xdr:col>15</xdr:col>
      <xdr:colOff>191409</xdr:colOff>
      <xdr:row>8</xdr:row>
      <xdr:rowOff>77831</xdr:rowOff>
    </xdr:to>
    <xdr:sp macro="" textlink="">
      <xdr:nvSpPr>
        <xdr:cNvPr id="52" name="Oval 51">
          <a:extLst>
            <a:ext uri="{FF2B5EF4-FFF2-40B4-BE49-F238E27FC236}">
              <a16:creationId xmlns:a16="http://schemas.microsoft.com/office/drawing/2014/main" id="{A591CC22-A016-E036-8B28-2134F7FD5F67}"/>
            </a:ext>
          </a:extLst>
        </xdr:cNvPr>
        <xdr:cNvSpPr/>
      </xdr:nvSpPr>
      <xdr:spPr>
        <a:xfrm>
          <a:off x="9285335" y="1506400"/>
          <a:ext cx="22860" cy="22860"/>
        </a:xfrm>
        <a:prstGeom prst="ellipse">
          <a:avLst/>
        </a:prstGeom>
        <a:solidFill>
          <a:schemeClr val="tx2">
            <a:lumMod val="90000"/>
            <a:lumOff val="10000"/>
          </a:schemeClr>
        </a:solidFill>
        <a:ln w="5655" cap="flat">
          <a:noFill/>
          <a:prstDash val="solid"/>
          <a:miter/>
        </a:ln>
      </xdr:spPr>
    </xdr:sp>
    <xdr:clientData/>
  </xdr:twoCellAnchor>
  <xdr:twoCellAnchor>
    <xdr:from>
      <xdr:col>14</xdr:col>
      <xdr:colOff>547735</xdr:colOff>
      <xdr:row>8</xdr:row>
      <xdr:rowOff>54971</xdr:rowOff>
    </xdr:from>
    <xdr:to>
      <xdr:col>14</xdr:col>
      <xdr:colOff>570595</xdr:colOff>
      <xdr:row>8</xdr:row>
      <xdr:rowOff>77831</xdr:rowOff>
    </xdr:to>
    <xdr:sp macro="" textlink="">
      <xdr:nvSpPr>
        <xdr:cNvPr id="53" name="Oval 52">
          <a:extLst>
            <a:ext uri="{FF2B5EF4-FFF2-40B4-BE49-F238E27FC236}">
              <a16:creationId xmlns:a16="http://schemas.microsoft.com/office/drawing/2014/main" id="{CC1B3F01-6ED3-C4AC-C7C8-AA6CCF97C028}"/>
            </a:ext>
          </a:extLst>
        </xdr:cNvPr>
        <xdr:cNvSpPr/>
      </xdr:nvSpPr>
      <xdr:spPr>
        <a:xfrm>
          <a:off x="9056735" y="1506400"/>
          <a:ext cx="22860" cy="22860"/>
        </a:xfrm>
        <a:prstGeom prst="ellipse">
          <a:avLst/>
        </a:prstGeom>
        <a:solidFill>
          <a:schemeClr val="tx2">
            <a:lumMod val="90000"/>
            <a:lumOff val="10000"/>
          </a:schemeClr>
        </a:solidFill>
        <a:ln w="5655" cap="flat">
          <a:noFill/>
          <a:prstDash val="solid"/>
          <a:miter/>
        </a:ln>
      </xdr:spPr>
    </xdr:sp>
    <xdr:clientData/>
  </xdr:twoCellAnchor>
  <xdr:twoCellAnchor>
    <xdr:from>
      <xdr:col>15</xdr:col>
      <xdr:colOff>54249</xdr:colOff>
      <xdr:row>7</xdr:row>
      <xdr:rowOff>167820</xdr:rowOff>
    </xdr:from>
    <xdr:to>
      <xdr:col>15</xdr:col>
      <xdr:colOff>130258</xdr:colOff>
      <xdr:row>8</xdr:row>
      <xdr:rowOff>130980</xdr:rowOff>
    </xdr:to>
    <xdr:sp macro="" textlink="">
      <xdr:nvSpPr>
        <xdr:cNvPr id="54" name="Free-form: Shape 53">
          <a:extLst>
            <a:ext uri="{FF2B5EF4-FFF2-40B4-BE49-F238E27FC236}">
              <a16:creationId xmlns:a16="http://schemas.microsoft.com/office/drawing/2014/main" id="{A2AAF4F3-BED9-4BE4-F2F9-8C2CD5CB403F}"/>
            </a:ext>
          </a:extLst>
        </xdr:cNvPr>
        <xdr:cNvSpPr/>
      </xdr:nvSpPr>
      <xdr:spPr>
        <a:xfrm>
          <a:off x="9171035" y="1437820"/>
          <a:ext cx="76009" cy="144589"/>
        </a:xfrm>
        <a:custGeom>
          <a:avLst/>
          <a:gdLst>
            <a:gd name="csX0" fmla="*/ 22860 w 76009"/>
            <a:gd name="csY0" fmla="*/ 0 h 144589"/>
            <a:gd name="csX1" fmla="*/ 0 w 76009"/>
            <a:gd name="csY1" fmla="*/ 0 h 144589"/>
            <a:gd name="csX2" fmla="*/ 0 w 76009"/>
            <a:gd name="csY2" fmla="*/ 80010 h 144589"/>
            <a:gd name="csX3" fmla="*/ 3429 w 76009"/>
            <a:gd name="csY3" fmla="*/ 88011 h 144589"/>
            <a:gd name="csX4" fmla="*/ 60008 w 76009"/>
            <a:gd name="csY4" fmla="*/ 144590 h 144589"/>
            <a:gd name="csX5" fmla="*/ 76009 w 76009"/>
            <a:gd name="csY5" fmla="*/ 128588 h 144589"/>
            <a:gd name="csX6" fmla="*/ 22860 w 76009"/>
            <a:gd name="csY6" fmla="*/ 75438 h 144589"/>
            <a:gd name="csX7" fmla="*/ 22860 w 76009"/>
            <a:gd name="csY7" fmla="*/ 0 h 14458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76009" h="144589">
              <a:moveTo>
                <a:pt x="22860" y="0"/>
              </a:moveTo>
              <a:lnTo>
                <a:pt x="0" y="0"/>
              </a:lnTo>
              <a:lnTo>
                <a:pt x="0" y="80010"/>
              </a:lnTo>
              <a:cubicBezTo>
                <a:pt x="0" y="82868"/>
                <a:pt x="1143" y="85725"/>
                <a:pt x="3429" y="88011"/>
              </a:cubicBezTo>
              <a:lnTo>
                <a:pt x="60008" y="144590"/>
              </a:lnTo>
              <a:lnTo>
                <a:pt x="76009" y="128588"/>
              </a:lnTo>
              <a:lnTo>
                <a:pt x="22860" y="75438"/>
              </a:lnTo>
              <a:lnTo>
                <a:pt x="22860" y="0"/>
              </a:lnTo>
              <a:close/>
            </a:path>
          </a:pathLst>
        </a:custGeom>
        <a:solidFill>
          <a:schemeClr val="tx2">
            <a:lumMod val="90000"/>
            <a:lumOff val="10000"/>
          </a:schemeClr>
        </a:solidFill>
        <a:ln w="5655" cap="flat">
          <a:noFill/>
          <a:prstDash val="solid"/>
          <a:miter/>
        </a:ln>
      </xdr:spPr>
    </xdr:sp>
    <xdr:clientData/>
  </xdr:twoCellAnchor>
  <xdr:twoCellAnchor>
    <xdr:from>
      <xdr:col>14</xdr:col>
      <xdr:colOff>479329</xdr:colOff>
      <xdr:row>7</xdr:row>
      <xdr:rowOff>2085</xdr:rowOff>
    </xdr:from>
    <xdr:to>
      <xdr:col>15</xdr:col>
      <xdr:colOff>260503</xdr:colOff>
      <xdr:row>9</xdr:row>
      <xdr:rowOff>84686</xdr:rowOff>
    </xdr:to>
    <xdr:sp macro="" textlink="">
      <xdr:nvSpPr>
        <xdr:cNvPr id="55" name="Free-form: Shape 54">
          <a:extLst>
            <a:ext uri="{FF2B5EF4-FFF2-40B4-BE49-F238E27FC236}">
              <a16:creationId xmlns:a16="http://schemas.microsoft.com/office/drawing/2014/main" id="{024AEC2B-45DD-828B-ECD4-0CEE491419C3}"/>
            </a:ext>
          </a:extLst>
        </xdr:cNvPr>
        <xdr:cNvSpPr/>
      </xdr:nvSpPr>
      <xdr:spPr>
        <a:xfrm>
          <a:off x="8988329" y="1272085"/>
          <a:ext cx="388960" cy="445458"/>
        </a:xfrm>
        <a:custGeom>
          <a:avLst/>
          <a:gdLst>
            <a:gd name="csX0" fmla="*/ 194135 w 388960"/>
            <a:gd name="csY0" fmla="*/ 411480 h 445458"/>
            <a:gd name="csX1" fmla="*/ 34115 w 388960"/>
            <a:gd name="csY1" fmla="*/ 251460 h 445458"/>
            <a:gd name="csX2" fmla="*/ 194135 w 388960"/>
            <a:gd name="csY2" fmla="*/ 91440 h 445458"/>
            <a:gd name="csX3" fmla="*/ 354155 w 388960"/>
            <a:gd name="csY3" fmla="*/ 251460 h 445458"/>
            <a:gd name="csX4" fmla="*/ 194135 w 388960"/>
            <a:gd name="csY4" fmla="*/ 411480 h 445458"/>
            <a:gd name="csX5" fmla="*/ 194135 w 388960"/>
            <a:gd name="csY5" fmla="*/ 411480 h 445458"/>
            <a:gd name="csX6" fmla="*/ 329581 w 388960"/>
            <a:gd name="csY6" fmla="*/ 112014 h 445458"/>
            <a:gd name="csX7" fmla="*/ 346726 w 388960"/>
            <a:gd name="csY7" fmla="*/ 94869 h 445458"/>
            <a:gd name="csX8" fmla="*/ 346154 w 388960"/>
            <a:gd name="csY8" fmla="*/ 70866 h 445458"/>
            <a:gd name="csX9" fmla="*/ 322151 w 388960"/>
            <a:gd name="csY9" fmla="*/ 70294 h 445458"/>
            <a:gd name="csX10" fmla="*/ 302720 w 388960"/>
            <a:gd name="csY10" fmla="*/ 90297 h 445458"/>
            <a:gd name="csX11" fmla="*/ 211280 w 388960"/>
            <a:gd name="csY11" fmla="*/ 58293 h 445458"/>
            <a:gd name="csX12" fmla="*/ 211280 w 388960"/>
            <a:gd name="csY12" fmla="*/ 34290 h 445458"/>
            <a:gd name="csX13" fmla="*/ 262715 w 388960"/>
            <a:gd name="csY13" fmla="*/ 34290 h 445458"/>
            <a:gd name="csX14" fmla="*/ 262715 w 388960"/>
            <a:gd name="csY14" fmla="*/ 0 h 445458"/>
            <a:gd name="csX15" fmla="*/ 125555 w 388960"/>
            <a:gd name="csY15" fmla="*/ 0 h 445458"/>
            <a:gd name="csX16" fmla="*/ 125555 w 388960"/>
            <a:gd name="csY16" fmla="*/ 34290 h 445458"/>
            <a:gd name="csX17" fmla="*/ 176990 w 388960"/>
            <a:gd name="csY17" fmla="*/ 34290 h 445458"/>
            <a:gd name="csX18" fmla="*/ 176990 w 388960"/>
            <a:gd name="csY18" fmla="*/ 57722 h 445458"/>
            <a:gd name="csX19" fmla="*/ 1540 w 388960"/>
            <a:gd name="csY19" fmla="*/ 226886 h 445458"/>
            <a:gd name="csX20" fmla="*/ 129556 w 388960"/>
            <a:gd name="csY20" fmla="*/ 434340 h 445458"/>
            <a:gd name="csX21" fmla="*/ 359870 w 388960"/>
            <a:gd name="csY21" fmla="*/ 353759 h 445458"/>
            <a:gd name="csX22" fmla="*/ 329581 w 388960"/>
            <a:gd name="csY22" fmla="*/ 112014 h 445458"/>
            <a:gd name="csX23" fmla="*/ 329581 w 388960"/>
            <a:gd name="csY23" fmla="*/ 112014 h 44545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Lst>
          <a:rect l="l" t="t" r="r" b="b"/>
          <a:pathLst>
            <a:path w="388960" h="445458">
              <a:moveTo>
                <a:pt x="194135" y="411480"/>
              </a:moveTo>
              <a:cubicBezTo>
                <a:pt x="105553" y="411480"/>
                <a:pt x="34115" y="340043"/>
                <a:pt x="34115" y="251460"/>
              </a:cubicBezTo>
              <a:cubicBezTo>
                <a:pt x="34115" y="162878"/>
                <a:pt x="105553" y="91440"/>
                <a:pt x="194135" y="91440"/>
              </a:cubicBezTo>
              <a:cubicBezTo>
                <a:pt x="282718" y="91440"/>
                <a:pt x="354155" y="162878"/>
                <a:pt x="354155" y="251460"/>
              </a:cubicBezTo>
              <a:cubicBezTo>
                <a:pt x="354155" y="340043"/>
                <a:pt x="282718" y="411480"/>
                <a:pt x="194135" y="411480"/>
              </a:cubicBezTo>
              <a:lnTo>
                <a:pt x="194135" y="411480"/>
              </a:lnTo>
              <a:close/>
              <a:moveTo>
                <a:pt x="329581" y="112014"/>
              </a:moveTo>
              <a:lnTo>
                <a:pt x="346726" y="94869"/>
              </a:lnTo>
              <a:cubicBezTo>
                <a:pt x="353012" y="88011"/>
                <a:pt x="353012" y="77724"/>
                <a:pt x="346154" y="70866"/>
              </a:cubicBezTo>
              <a:cubicBezTo>
                <a:pt x="339868" y="64579"/>
                <a:pt x="329009" y="64008"/>
                <a:pt x="322151" y="70294"/>
              </a:cubicBezTo>
              <a:lnTo>
                <a:pt x="302720" y="90297"/>
              </a:lnTo>
              <a:cubicBezTo>
                <a:pt x="275288" y="72009"/>
                <a:pt x="243856" y="60579"/>
                <a:pt x="211280" y="58293"/>
              </a:cubicBezTo>
              <a:lnTo>
                <a:pt x="211280" y="34290"/>
              </a:lnTo>
              <a:lnTo>
                <a:pt x="262715" y="34290"/>
              </a:lnTo>
              <a:lnTo>
                <a:pt x="262715" y="0"/>
              </a:lnTo>
              <a:lnTo>
                <a:pt x="125555" y="0"/>
              </a:lnTo>
              <a:lnTo>
                <a:pt x="125555" y="34290"/>
              </a:lnTo>
              <a:lnTo>
                <a:pt x="176990" y="34290"/>
              </a:lnTo>
              <a:lnTo>
                <a:pt x="176990" y="57722"/>
              </a:lnTo>
              <a:cubicBezTo>
                <a:pt x="86122" y="65723"/>
                <a:pt x="12970" y="136017"/>
                <a:pt x="1540" y="226886"/>
              </a:cubicBezTo>
              <a:cubicBezTo>
                <a:pt x="-9890" y="317754"/>
                <a:pt x="43259" y="404050"/>
                <a:pt x="129556" y="434340"/>
              </a:cubicBezTo>
              <a:cubicBezTo>
                <a:pt x="215852" y="464630"/>
                <a:pt x="311293" y="431483"/>
                <a:pt x="359870" y="353759"/>
              </a:cubicBezTo>
              <a:cubicBezTo>
                <a:pt x="408448" y="276035"/>
                <a:pt x="394732" y="175451"/>
                <a:pt x="329581" y="112014"/>
              </a:cubicBezTo>
              <a:lnTo>
                <a:pt x="329581" y="112014"/>
              </a:lnTo>
              <a:close/>
            </a:path>
          </a:pathLst>
        </a:custGeom>
        <a:solidFill>
          <a:schemeClr val="tx2">
            <a:lumMod val="90000"/>
            <a:lumOff val="10000"/>
          </a:schemeClr>
        </a:solidFill>
        <a:ln w="5655" cap="flat">
          <a:noFill/>
          <a:prstDash val="solid"/>
          <a:miter/>
        </a:ln>
      </xdr:spPr>
    </xdr:sp>
    <xdr:clientData/>
  </xdr:twoCellAnchor>
  <xdr:twoCellAnchor>
    <xdr:from>
      <xdr:col>20</xdr:col>
      <xdr:colOff>317499</xdr:colOff>
      <xdr:row>7</xdr:row>
      <xdr:rowOff>63500</xdr:rowOff>
    </xdr:from>
    <xdr:to>
      <xdr:col>20</xdr:col>
      <xdr:colOff>544285</xdr:colOff>
      <xdr:row>9</xdr:row>
      <xdr:rowOff>85637</xdr:rowOff>
    </xdr:to>
    <xdr:grpSp>
      <xdr:nvGrpSpPr>
        <xdr:cNvPr id="58" name="Graphic 56" descr="User with solid fill">
          <a:extLst>
            <a:ext uri="{FF2B5EF4-FFF2-40B4-BE49-F238E27FC236}">
              <a16:creationId xmlns:a16="http://schemas.microsoft.com/office/drawing/2014/main" id="{27B0F65E-8A30-AE58-CBF2-EFABE1E394A4}"/>
            </a:ext>
          </a:extLst>
        </xdr:cNvPr>
        <xdr:cNvGrpSpPr/>
      </xdr:nvGrpSpPr>
      <xdr:grpSpPr>
        <a:xfrm>
          <a:off x="12473213" y="1333500"/>
          <a:ext cx="226786" cy="384994"/>
          <a:chOff x="12488798" y="1332411"/>
          <a:chExt cx="243840" cy="259080"/>
        </a:xfrm>
        <a:solidFill>
          <a:schemeClr val="tx2">
            <a:lumMod val="90000"/>
            <a:lumOff val="10000"/>
          </a:schemeClr>
        </a:solidFill>
      </xdr:grpSpPr>
      <xdr:sp macro="" textlink="">
        <xdr:nvSpPr>
          <xdr:cNvPr id="59" name="Oval 58">
            <a:extLst>
              <a:ext uri="{FF2B5EF4-FFF2-40B4-BE49-F238E27FC236}">
                <a16:creationId xmlns:a16="http://schemas.microsoft.com/office/drawing/2014/main" id="{EC099074-4F4E-C4D7-EEF0-274356455F4C}"/>
              </a:ext>
            </a:extLst>
          </xdr:cNvPr>
          <xdr:cNvSpPr/>
        </xdr:nvSpPr>
        <xdr:spPr>
          <a:xfrm>
            <a:off x="12549758" y="1332411"/>
            <a:ext cx="121920" cy="121920"/>
          </a:xfrm>
          <a:prstGeom prst="ellipse">
            <a:avLst/>
          </a:prstGeom>
          <a:solidFill>
            <a:schemeClr val="tx2">
              <a:lumMod val="90000"/>
              <a:lumOff val="10000"/>
            </a:schemeClr>
          </a:solidFill>
          <a:ln w="3770" cap="flat">
            <a:noFill/>
            <a:prstDash val="solid"/>
            <a:miter/>
          </a:ln>
        </xdr:spPr>
      </xdr:sp>
      <xdr:sp macro="" textlink="">
        <xdr:nvSpPr>
          <xdr:cNvPr id="60" name="Free-form: Shape 59">
            <a:extLst>
              <a:ext uri="{FF2B5EF4-FFF2-40B4-BE49-F238E27FC236}">
                <a16:creationId xmlns:a16="http://schemas.microsoft.com/office/drawing/2014/main" id="{7943F9C7-0641-4858-59EE-74C992110041}"/>
              </a:ext>
            </a:extLst>
          </xdr:cNvPr>
          <xdr:cNvSpPr/>
        </xdr:nvSpPr>
        <xdr:spPr>
          <a:xfrm>
            <a:off x="12488798" y="1469571"/>
            <a:ext cx="243840" cy="121920"/>
          </a:xfrm>
          <a:custGeom>
            <a:avLst/>
            <a:gdLst>
              <a:gd name="csX0" fmla="*/ 243840 w 243840"/>
              <a:gd name="csY0" fmla="*/ 121920 h 121920"/>
              <a:gd name="csX1" fmla="*/ 243840 w 243840"/>
              <a:gd name="csY1" fmla="*/ 60960 h 121920"/>
              <a:gd name="csX2" fmla="*/ 231648 w 243840"/>
              <a:gd name="csY2" fmla="*/ 36576 h 121920"/>
              <a:gd name="csX3" fmla="*/ 172212 w 243840"/>
              <a:gd name="csY3" fmla="*/ 7620 h 121920"/>
              <a:gd name="csX4" fmla="*/ 121920 w 243840"/>
              <a:gd name="csY4" fmla="*/ 0 h 121920"/>
              <a:gd name="csX5" fmla="*/ 71628 w 243840"/>
              <a:gd name="csY5" fmla="*/ 7620 h 121920"/>
              <a:gd name="csX6" fmla="*/ 12192 w 243840"/>
              <a:gd name="csY6" fmla="*/ 36576 h 121920"/>
              <a:gd name="csX7" fmla="*/ 0 w 243840"/>
              <a:gd name="csY7" fmla="*/ 60960 h 121920"/>
              <a:gd name="csX8" fmla="*/ 0 w 243840"/>
              <a:gd name="csY8" fmla="*/ 121920 h 121920"/>
              <a:gd name="csX9" fmla="*/ 243840 w 243840"/>
              <a:gd name="csY9" fmla="*/ 121920 h 12192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243840" h="121920">
                <a:moveTo>
                  <a:pt x="243840" y="121920"/>
                </a:moveTo>
                <a:lnTo>
                  <a:pt x="243840" y="60960"/>
                </a:lnTo>
                <a:cubicBezTo>
                  <a:pt x="243840" y="51816"/>
                  <a:pt x="239268" y="42672"/>
                  <a:pt x="231648" y="36576"/>
                </a:cubicBezTo>
                <a:cubicBezTo>
                  <a:pt x="214884" y="22860"/>
                  <a:pt x="193548" y="13716"/>
                  <a:pt x="172212" y="7620"/>
                </a:cubicBezTo>
                <a:cubicBezTo>
                  <a:pt x="156972" y="3048"/>
                  <a:pt x="140208" y="0"/>
                  <a:pt x="121920" y="0"/>
                </a:cubicBezTo>
                <a:cubicBezTo>
                  <a:pt x="105156" y="0"/>
                  <a:pt x="88392" y="3048"/>
                  <a:pt x="71628" y="7620"/>
                </a:cubicBezTo>
                <a:cubicBezTo>
                  <a:pt x="50292" y="13716"/>
                  <a:pt x="28956" y="24384"/>
                  <a:pt x="12192" y="36576"/>
                </a:cubicBezTo>
                <a:cubicBezTo>
                  <a:pt x="4572" y="42672"/>
                  <a:pt x="0" y="51816"/>
                  <a:pt x="0" y="60960"/>
                </a:cubicBezTo>
                <a:lnTo>
                  <a:pt x="0" y="121920"/>
                </a:lnTo>
                <a:lnTo>
                  <a:pt x="243840" y="121920"/>
                </a:lnTo>
                <a:close/>
              </a:path>
            </a:pathLst>
          </a:custGeom>
          <a:solidFill>
            <a:schemeClr val="tx2">
              <a:lumMod val="90000"/>
              <a:lumOff val="10000"/>
            </a:schemeClr>
          </a:solidFill>
          <a:ln w="3770" cap="flat">
            <a:noFill/>
            <a:prstDash val="solid"/>
            <a:miter/>
          </a:ln>
        </xdr:spPr>
      </xdr:sp>
    </xdr:grpSp>
    <xdr:clientData/>
  </xdr:twoCellAnchor>
  <xdr:twoCellAnchor>
    <xdr:from>
      <xdr:col>0</xdr:col>
      <xdr:colOff>90215</xdr:colOff>
      <xdr:row>20</xdr:row>
      <xdr:rowOff>34644</xdr:rowOff>
    </xdr:from>
    <xdr:to>
      <xdr:col>0</xdr:col>
      <xdr:colOff>478835</xdr:colOff>
      <xdr:row>22</xdr:row>
      <xdr:rowOff>60406</xdr:rowOff>
    </xdr:to>
    <xdr:sp macro="" textlink="">
      <xdr:nvSpPr>
        <xdr:cNvPr id="79" name="Free-form: Shape 78">
          <a:extLst>
            <a:ext uri="{FF2B5EF4-FFF2-40B4-BE49-F238E27FC236}">
              <a16:creationId xmlns:a16="http://schemas.microsoft.com/office/drawing/2014/main" id="{23A5D08F-598C-D7C8-539F-1C9D0EC6B4B4}"/>
            </a:ext>
          </a:extLst>
        </xdr:cNvPr>
        <xdr:cNvSpPr/>
      </xdr:nvSpPr>
      <xdr:spPr>
        <a:xfrm>
          <a:off x="90215" y="3663215"/>
          <a:ext cx="388620" cy="388620"/>
        </a:xfrm>
        <a:custGeom>
          <a:avLst/>
          <a:gdLst>
            <a:gd name="csX0" fmla="*/ 34290 w 388620"/>
            <a:gd name="csY0" fmla="*/ 0 h 388620"/>
            <a:gd name="csX1" fmla="*/ 0 w 388620"/>
            <a:gd name="csY1" fmla="*/ 0 h 388620"/>
            <a:gd name="csX2" fmla="*/ 0 w 388620"/>
            <a:gd name="csY2" fmla="*/ 388620 h 388620"/>
            <a:gd name="csX3" fmla="*/ 388620 w 388620"/>
            <a:gd name="csY3" fmla="*/ 388620 h 388620"/>
            <a:gd name="csX4" fmla="*/ 388620 w 388620"/>
            <a:gd name="csY4" fmla="*/ 354330 h 388620"/>
            <a:gd name="csX5" fmla="*/ 34290 w 388620"/>
            <a:gd name="csY5" fmla="*/ 354330 h 388620"/>
          </a:gdLst>
          <a:ahLst/>
          <a:cxnLst>
            <a:cxn ang="0">
              <a:pos x="csX0" y="csY0"/>
            </a:cxn>
            <a:cxn ang="0">
              <a:pos x="csX1" y="csY1"/>
            </a:cxn>
            <a:cxn ang="0">
              <a:pos x="csX2" y="csY2"/>
            </a:cxn>
            <a:cxn ang="0">
              <a:pos x="csX3" y="csY3"/>
            </a:cxn>
            <a:cxn ang="0">
              <a:pos x="csX4" y="csY4"/>
            </a:cxn>
            <a:cxn ang="0">
              <a:pos x="csX5" y="csY5"/>
            </a:cxn>
          </a:cxnLst>
          <a:rect l="l" t="t" r="r" b="b"/>
          <a:pathLst>
            <a:path w="388620" h="388620">
              <a:moveTo>
                <a:pt x="34290" y="0"/>
              </a:moveTo>
              <a:lnTo>
                <a:pt x="0" y="0"/>
              </a:lnTo>
              <a:lnTo>
                <a:pt x="0" y="388620"/>
              </a:lnTo>
              <a:lnTo>
                <a:pt x="388620" y="388620"/>
              </a:lnTo>
              <a:lnTo>
                <a:pt x="388620" y="354330"/>
              </a:lnTo>
              <a:lnTo>
                <a:pt x="34290" y="354330"/>
              </a:lnTo>
              <a:close/>
            </a:path>
          </a:pathLst>
        </a:custGeom>
        <a:solidFill>
          <a:schemeClr val="tx2">
            <a:lumMod val="90000"/>
            <a:lumOff val="10000"/>
          </a:schemeClr>
        </a:solidFill>
        <a:ln w="5655" cap="flat">
          <a:noFill/>
          <a:prstDash val="solid"/>
          <a:miter/>
        </a:ln>
      </xdr:spPr>
    </xdr:sp>
    <xdr:clientData/>
  </xdr:twoCellAnchor>
  <xdr:twoCellAnchor>
    <xdr:from>
      <xdr:col>0</xdr:col>
      <xdr:colOff>146793</xdr:colOff>
      <xdr:row>20</xdr:row>
      <xdr:rowOff>131799</xdr:rowOff>
    </xdr:from>
    <xdr:to>
      <xdr:col>0</xdr:col>
      <xdr:colOff>478834</xdr:colOff>
      <xdr:row>21</xdr:row>
      <xdr:rowOff>145251</xdr:rowOff>
    </xdr:to>
    <xdr:sp macro="" textlink="">
      <xdr:nvSpPr>
        <xdr:cNvPr id="80" name="Free-form: Shape 79">
          <a:extLst>
            <a:ext uri="{FF2B5EF4-FFF2-40B4-BE49-F238E27FC236}">
              <a16:creationId xmlns:a16="http://schemas.microsoft.com/office/drawing/2014/main" id="{A5614E67-E964-C70F-F701-A1368B4E234F}"/>
            </a:ext>
          </a:extLst>
        </xdr:cNvPr>
        <xdr:cNvSpPr/>
      </xdr:nvSpPr>
      <xdr:spPr>
        <a:xfrm>
          <a:off x="146793" y="3760370"/>
          <a:ext cx="332041" cy="194881"/>
        </a:xfrm>
        <a:custGeom>
          <a:avLst/>
          <a:gdLst>
            <a:gd name="csX0" fmla="*/ 240602 w 332041"/>
            <a:gd name="csY0" fmla="*/ 0 h 194881"/>
            <a:gd name="csX1" fmla="*/ 274320 w 332041"/>
            <a:gd name="csY1" fmla="*/ 33719 h 194881"/>
            <a:gd name="csX2" fmla="*/ 229172 w 332041"/>
            <a:gd name="csY2" fmla="*/ 78867 h 194881"/>
            <a:gd name="csX3" fmla="*/ 194882 w 332041"/>
            <a:gd name="csY3" fmla="*/ 44577 h 194881"/>
            <a:gd name="csX4" fmla="*/ 137732 w 332041"/>
            <a:gd name="csY4" fmla="*/ 101727 h 194881"/>
            <a:gd name="csX5" fmla="*/ 103442 w 332041"/>
            <a:gd name="csY5" fmla="*/ 67437 h 194881"/>
            <a:gd name="csX6" fmla="*/ 0 w 332041"/>
            <a:gd name="csY6" fmla="*/ 170879 h 194881"/>
            <a:gd name="csX7" fmla="*/ 24003 w 332041"/>
            <a:gd name="csY7" fmla="*/ 194881 h 194881"/>
            <a:gd name="csX8" fmla="*/ 103442 w 332041"/>
            <a:gd name="csY8" fmla="*/ 115443 h 194881"/>
            <a:gd name="csX9" fmla="*/ 137732 w 332041"/>
            <a:gd name="csY9" fmla="*/ 149733 h 194881"/>
            <a:gd name="csX10" fmla="*/ 194882 w 332041"/>
            <a:gd name="csY10" fmla="*/ 92583 h 194881"/>
            <a:gd name="csX11" fmla="*/ 229172 w 332041"/>
            <a:gd name="csY11" fmla="*/ 126873 h 194881"/>
            <a:gd name="csX12" fmla="*/ 298323 w 332041"/>
            <a:gd name="csY12" fmla="*/ 57721 h 194881"/>
            <a:gd name="csX13" fmla="*/ 332042 w 332041"/>
            <a:gd name="csY13" fmla="*/ 91440 h 194881"/>
            <a:gd name="csX14" fmla="*/ 332042 w 332041"/>
            <a:gd name="csY14" fmla="*/ 0 h 19488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332041" h="194881">
              <a:moveTo>
                <a:pt x="240602" y="0"/>
              </a:moveTo>
              <a:lnTo>
                <a:pt x="274320" y="33719"/>
              </a:lnTo>
              <a:lnTo>
                <a:pt x="229172" y="78867"/>
              </a:lnTo>
              <a:lnTo>
                <a:pt x="194882" y="44577"/>
              </a:lnTo>
              <a:lnTo>
                <a:pt x="137732" y="101727"/>
              </a:lnTo>
              <a:lnTo>
                <a:pt x="103442" y="67437"/>
              </a:lnTo>
              <a:lnTo>
                <a:pt x="0" y="170879"/>
              </a:lnTo>
              <a:lnTo>
                <a:pt x="24003" y="194881"/>
              </a:lnTo>
              <a:lnTo>
                <a:pt x="103442" y="115443"/>
              </a:lnTo>
              <a:lnTo>
                <a:pt x="137732" y="149733"/>
              </a:lnTo>
              <a:lnTo>
                <a:pt x="194882" y="92583"/>
              </a:lnTo>
              <a:lnTo>
                <a:pt x="229172" y="126873"/>
              </a:lnTo>
              <a:lnTo>
                <a:pt x="298323" y="57721"/>
              </a:lnTo>
              <a:lnTo>
                <a:pt x="332042" y="91440"/>
              </a:lnTo>
              <a:lnTo>
                <a:pt x="332042" y="0"/>
              </a:lnTo>
              <a:close/>
            </a:path>
          </a:pathLst>
        </a:custGeom>
        <a:solidFill>
          <a:schemeClr val="tx2">
            <a:lumMod val="90000"/>
            <a:lumOff val="10000"/>
          </a:schemeClr>
        </a:solidFill>
        <a:ln w="5655" cap="flat">
          <a:noFill/>
          <a:prstDash val="solid"/>
          <a:miter/>
        </a:ln>
      </xdr:spPr>
    </xdr:sp>
    <xdr:clientData/>
  </xdr:twoCellAnchor>
  <xdr:twoCellAnchor>
    <xdr:from>
      <xdr:col>0</xdr:col>
      <xdr:colOff>33065</xdr:colOff>
      <xdr:row>16</xdr:row>
      <xdr:rowOff>29014</xdr:rowOff>
    </xdr:from>
    <xdr:to>
      <xdr:col>0</xdr:col>
      <xdr:colOff>535985</xdr:colOff>
      <xdr:row>17</xdr:row>
      <xdr:rowOff>76185</xdr:rowOff>
    </xdr:to>
    <xdr:sp macro="" textlink="">
      <xdr:nvSpPr>
        <xdr:cNvPr id="72" name="Free-form: Shape 71">
          <a:extLst>
            <a:ext uri="{FF2B5EF4-FFF2-40B4-BE49-F238E27FC236}">
              <a16:creationId xmlns:a16="http://schemas.microsoft.com/office/drawing/2014/main" id="{32E97053-9E57-AAFE-63C9-C9DA03834F54}"/>
            </a:ext>
          </a:extLst>
        </xdr:cNvPr>
        <xdr:cNvSpPr/>
      </xdr:nvSpPr>
      <xdr:spPr>
        <a:xfrm>
          <a:off x="33065" y="2931871"/>
          <a:ext cx="502920" cy="228600"/>
        </a:xfrm>
        <a:custGeom>
          <a:avLst/>
          <a:gdLst>
            <a:gd name="csX0" fmla="*/ 468630 w 502920"/>
            <a:gd name="csY0" fmla="*/ 177165 h 228600"/>
            <a:gd name="csX1" fmla="*/ 451485 w 502920"/>
            <a:gd name="csY1" fmla="*/ 194310 h 228600"/>
            <a:gd name="csX2" fmla="*/ 57150 w 502920"/>
            <a:gd name="csY2" fmla="*/ 194310 h 228600"/>
            <a:gd name="csX3" fmla="*/ 34290 w 502920"/>
            <a:gd name="csY3" fmla="*/ 171450 h 228600"/>
            <a:gd name="csX4" fmla="*/ 34290 w 502920"/>
            <a:gd name="csY4" fmla="*/ 57150 h 228600"/>
            <a:gd name="csX5" fmla="*/ 57150 w 502920"/>
            <a:gd name="csY5" fmla="*/ 34290 h 228600"/>
            <a:gd name="csX6" fmla="*/ 451485 w 502920"/>
            <a:gd name="csY6" fmla="*/ 34290 h 228600"/>
            <a:gd name="csX7" fmla="*/ 468630 w 502920"/>
            <a:gd name="csY7" fmla="*/ 51435 h 228600"/>
            <a:gd name="csX8" fmla="*/ 468630 w 502920"/>
            <a:gd name="csY8" fmla="*/ 177165 h 228600"/>
            <a:gd name="csX9" fmla="*/ 0 w 502920"/>
            <a:gd name="csY9" fmla="*/ 0 h 228600"/>
            <a:gd name="csX10" fmla="*/ 0 w 502920"/>
            <a:gd name="csY10" fmla="*/ 228600 h 228600"/>
            <a:gd name="csX11" fmla="*/ 502920 w 502920"/>
            <a:gd name="csY11" fmla="*/ 228600 h 228600"/>
            <a:gd name="csX12" fmla="*/ 502920 w 502920"/>
            <a:gd name="csY12" fmla="*/ 0 h 228600"/>
            <a:gd name="csX13" fmla="*/ 0 w 502920"/>
            <a:gd name="csY13" fmla="*/ 0 h 2286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502920" h="228600">
              <a:moveTo>
                <a:pt x="468630" y="177165"/>
              </a:moveTo>
              <a:lnTo>
                <a:pt x="451485" y="194310"/>
              </a:lnTo>
              <a:lnTo>
                <a:pt x="57150" y="194310"/>
              </a:lnTo>
              <a:lnTo>
                <a:pt x="34290" y="171450"/>
              </a:lnTo>
              <a:lnTo>
                <a:pt x="34290" y="57150"/>
              </a:lnTo>
              <a:lnTo>
                <a:pt x="57150" y="34290"/>
              </a:lnTo>
              <a:lnTo>
                <a:pt x="451485" y="34290"/>
              </a:lnTo>
              <a:lnTo>
                <a:pt x="468630" y="51435"/>
              </a:lnTo>
              <a:lnTo>
                <a:pt x="468630" y="177165"/>
              </a:lnTo>
              <a:close/>
              <a:moveTo>
                <a:pt x="0" y="0"/>
              </a:moveTo>
              <a:lnTo>
                <a:pt x="0" y="228600"/>
              </a:lnTo>
              <a:lnTo>
                <a:pt x="502920" y="228600"/>
              </a:lnTo>
              <a:lnTo>
                <a:pt x="502920" y="0"/>
              </a:lnTo>
              <a:lnTo>
                <a:pt x="0" y="0"/>
              </a:lnTo>
              <a:close/>
            </a:path>
          </a:pathLst>
        </a:custGeom>
        <a:solidFill>
          <a:schemeClr val="tx2">
            <a:lumMod val="90000"/>
            <a:lumOff val="10000"/>
          </a:schemeClr>
        </a:solidFill>
        <a:ln w="5655" cap="flat">
          <a:noFill/>
          <a:prstDash val="solid"/>
          <a:miter/>
        </a:ln>
      </xdr:spPr>
    </xdr:sp>
    <xdr:clientData/>
  </xdr:twoCellAnchor>
  <xdr:twoCellAnchor>
    <xdr:from>
      <xdr:col>0</xdr:col>
      <xdr:colOff>238805</xdr:colOff>
      <xdr:row>16</xdr:row>
      <xdr:rowOff>86164</xdr:rowOff>
    </xdr:from>
    <xdr:to>
      <xdr:col>0</xdr:col>
      <xdr:colOff>330245</xdr:colOff>
      <xdr:row>17</xdr:row>
      <xdr:rowOff>19035</xdr:rowOff>
    </xdr:to>
    <xdr:sp macro="" textlink="">
      <xdr:nvSpPr>
        <xdr:cNvPr id="73" name="Oval 72">
          <a:extLst>
            <a:ext uri="{FF2B5EF4-FFF2-40B4-BE49-F238E27FC236}">
              <a16:creationId xmlns:a16="http://schemas.microsoft.com/office/drawing/2014/main" id="{FD58D3BB-C30A-8694-4E28-C6BC65B35305}"/>
            </a:ext>
          </a:extLst>
        </xdr:cNvPr>
        <xdr:cNvSpPr/>
      </xdr:nvSpPr>
      <xdr:spPr>
        <a:xfrm>
          <a:off x="238805" y="2989021"/>
          <a:ext cx="91440" cy="114300"/>
        </a:xfrm>
        <a:prstGeom prst="ellipse">
          <a:avLst/>
        </a:prstGeom>
        <a:solidFill>
          <a:schemeClr val="tx2">
            <a:lumMod val="90000"/>
            <a:lumOff val="10000"/>
          </a:schemeClr>
        </a:solidFill>
        <a:ln w="5655" cap="flat">
          <a:noFill/>
          <a:prstDash val="solid"/>
          <a:miter/>
        </a:ln>
      </xdr:spPr>
    </xdr:sp>
    <xdr:clientData/>
  </xdr:twoCellAnchor>
  <xdr:twoCellAnchor>
    <xdr:from>
      <xdr:col>0</xdr:col>
      <xdr:colOff>124505</xdr:colOff>
      <xdr:row>16</xdr:row>
      <xdr:rowOff>126169</xdr:rowOff>
    </xdr:from>
    <xdr:to>
      <xdr:col>0</xdr:col>
      <xdr:colOff>158795</xdr:colOff>
      <xdr:row>16</xdr:row>
      <xdr:rowOff>160459</xdr:rowOff>
    </xdr:to>
    <xdr:sp macro="" textlink="">
      <xdr:nvSpPr>
        <xdr:cNvPr id="74" name="Oval 73">
          <a:extLst>
            <a:ext uri="{FF2B5EF4-FFF2-40B4-BE49-F238E27FC236}">
              <a16:creationId xmlns:a16="http://schemas.microsoft.com/office/drawing/2014/main" id="{D51CC527-FAEE-B324-5D34-9550A155F6D1}"/>
            </a:ext>
          </a:extLst>
        </xdr:cNvPr>
        <xdr:cNvSpPr/>
      </xdr:nvSpPr>
      <xdr:spPr>
        <a:xfrm>
          <a:off x="124505" y="3029026"/>
          <a:ext cx="34290" cy="34290"/>
        </a:xfrm>
        <a:prstGeom prst="ellipse">
          <a:avLst/>
        </a:prstGeom>
        <a:solidFill>
          <a:schemeClr val="tx2">
            <a:lumMod val="90000"/>
            <a:lumOff val="10000"/>
          </a:schemeClr>
        </a:solidFill>
        <a:ln w="5655" cap="flat">
          <a:noFill/>
          <a:prstDash val="solid"/>
          <a:miter/>
        </a:ln>
      </xdr:spPr>
    </xdr:sp>
    <xdr:clientData/>
  </xdr:twoCellAnchor>
  <xdr:twoCellAnchor>
    <xdr:from>
      <xdr:col>0</xdr:col>
      <xdr:colOff>410255</xdr:colOff>
      <xdr:row>16</xdr:row>
      <xdr:rowOff>126169</xdr:rowOff>
    </xdr:from>
    <xdr:to>
      <xdr:col>0</xdr:col>
      <xdr:colOff>444545</xdr:colOff>
      <xdr:row>16</xdr:row>
      <xdr:rowOff>160459</xdr:rowOff>
    </xdr:to>
    <xdr:sp macro="" textlink="">
      <xdr:nvSpPr>
        <xdr:cNvPr id="75" name="Oval 74">
          <a:extLst>
            <a:ext uri="{FF2B5EF4-FFF2-40B4-BE49-F238E27FC236}">
              <a16:creationId xmlns:a16="http://schemas.microsoft.com/office/drawing/2014/main" id="{45295586-C53A-DF07-20E5-79EE49A3031E}"/>
            </a:ext>
          </a:extLst>
        </xdr:cNvPr>
        <xdr:cNvSpPr/>
      </xdr:nvSpPr>
      <xdr:spPr>
        <a:xfrm>
          <a:off x="410255" y="3029026"/>
          <a:ext cx="34290" cy="34290"/>
        </a:xfrm>
        <a:prstGeom prst="ellipse">
          <a:avLst/>
        </a:prstGeom>
        <a:solidFill>
          <a:schemeClr val="tx2">
            <a:lumMod val="90000"/>
            <a:lumOff val="10000"/>
          </a:schemeClr>
        </a:solidFill>
        <a:ln w="5655" cap="flat">
          <a:noFill/>
          <a:prstDash val="solid"/>
          <a:miter/>
        </a:ln>
      </xdr:spPr>
    </xdr:sp>
    <xdr:clientData/>
  </xdr:twoCellAnchor>
  <xdr:twoCellAnchor>
    <xdr:from>
      <xdr:col>0</xdr:col>
      <xdr:colOff>98215</xdr:colOff>
      <xdr:row>15</xdr:row>
      <xdr:rowOff>54994</xdr:rowOff>
    </xdr:from>
    <xdr:to>
      <xdr:col>0</xdr:col>
      <xdr:colOff>429685</xdr:colOff>
      <xdr:row>15</xdr:row>
      <xdr:rowOff>180723</xdr:rowOff>
    </xdr:to>
    <xdr:sp macro="" textlink="">
      <xdr:nvSpPr>
        <xdr:cNvPr id="76" name="Free-form: Shape 75">
          <a:extLst>
            <a:ext uri="{FF2B5EF4-FFF2-40B4-BE49-F238E27FC236}">
              <a16:creationId xmlns:a16="http://schemas.microsoft.com/office/drawing/2014/main" id="{6A5486E1-1DF7-AC88-8506-B360FA675123}"/>
            </a:ext>
          </a:extLst>
        </xdr:cNvPr>
        <xdr:cNvSpPr/>
      </xdr:nvSpPr>
      <xdr:spPr>
        <a:xfrm>
          <a:off x="98215" y="2776423"/>
          <a:ext cx="331470" cy="125729"/>
        </a:xfrm>
        <a:custGeom>
          <a:avLst/>
          <a:gdLst>
            <a:gd name="csX0" fmla="*/ 288608 w 331470"/>
            <a:gd name="csY0" fmla="*/ 45149 h 125729"/>
            <a:gd name="csX1" fmla="*/ 297180 w 331470"/>
            <a:gd name="csY1" fmla="*/ 66866 h 125729"/>
            <a:gd name="csX2" fmla="*/ 331470 w 331470"/>
            <a:gd name="csY2" fmla="*/ 60007 h 125729"/>
            <a:gd name="csX3" fmla="*/ 307467 w 331470"/>
            <a:gd name="csY3" fmla="*/ 0 h 125729"/>
            <a:gd name="csX4" fmla="*/ 0 w 331470"/>
            <a:gd name="csY4" fmla="*/ 125730 h 125729"/>
            <a:gd name="csX5" fmla="*/ 176022 w 331470"/>
            <a:gd name="csY5" fmla="*/ 90869 h 125729"/>
          </a:gdLst>
          <a:ahLst/>
          <a:cxnLst>
            <a:cxn ang="0">
              <a:pos x="csX0" y="csY0"/>
            </a:cxn>
            <a:cxn ang="0">
              <a:pos x="csX1" y="csY1"/>
            </a:cxn>
            <a:cxn ang="0">
              <a:pos x="csX2" y="csY2"/>
            </a:cxn>
            <a:cxn ang="0">
              <a:pos x="csX3" y="csY3"/>
            </a:cxn>
            <a:cxn ang="0">
              <a:pos x="csX4" y="csY4"/>
            </a:cxn>
            <a:cxn ang="0">
              <a:pos x="csX5" y="csY5"/>
            </a:cxn>
          </a:cxnLst>
          <a:rect l="l" t="t" r="r" b="b"/>
          <a:pathLst>
            <a:path w="331470" h="125729">
              <a:moveTo>
                <a:pt x="288608" y="45149"/>
              </a:moveTo>
              <a:lnTo>
                <a:pt x="297180" y="66866"/>
              </a:lnTo>
              <a:lnTo>
                <a:pt x="331470" y="60007"/>
              </a:lnTo>
              <a:lnTo>
                <a:pt x="307467" y="0"/>
              </a:lnTo>
              <a:lnTo>
                <a:pt x="0" y="125730"/>
              </a:lnTo>
              <a:lnTo>
                <a:pt x="176022" y="90869"/>
              </a:lnTo>
              <a:close/>
            </a:path>
          </a:pathLst>
        </a:custGeom>
        <a:solidFill>
          <a:schemeClr val="tx2">
            <a:lumMod val="90000"/>
            <a:lumOff val="10000"/>
          </a:schemeClr>
        </a:solidFill>
        <a:ln w="5655" cap="flat">
          <a:noFill/>
          <a:prstDash val="solid"/>
          <a:miter/>
        </a:ln>
      </xdr:spPr>
    </xdr:sp>
    <xdr:clientData/>
  </xdr:twoCellAnchor>
  <xdr:twoCellAnchor>
    <xdr:from>
      <xdr:col>0</xdr:col>
      <xdr:colOff>181655</xdr:colOff>
      <xdr:row>15</xdr:row>
      <xdr:rowOff>129288</xdr:rowOff>
    </xdr:from>
    <xdr:to>
      <xdr:col>0</xdr:col>
      <xdr:colOff>486264</xdr:colOff>
      <xdr:row>16</xdr:row>
      <xdr:rowOff>6153</xdr:rowOff>
    </xdr:to>
    <xdr:sp macro="" textlink="">
      <xdr:nvSpPr>
        <xdr:cNvPr id="77" name="Free-form: Shape 76">
          <a:extLst>
            <a:ext uri="{FF2B5EF4-FFF2-40B4-BE49-F238E27FC236}">
              <a16:creationId xmlns:a16="http://schemas.microsoft.com/office/drawing/2014/main" id="{3CE01CA3-D9CC-671D-C3A6-0673B312134C}"/>
            </a:ext>
          </a:extLst>
        </xdr:cNvPr>
        <xdr:cNvSpPr/>
      </xdr:nvSpPr>
      <xdr:spPr>
        <a:xfrm>
          <a:off x="181655" y="2850717"/>
          <a:ext cx="304609" cy="58293"/>
        </a:xfrm>
        <a:custGeom>
          <a:avLst/>
          <a:gdLst>
            <a:gd name="csX0" fmla="*/ 175451 w 304609"/>
            <a:gd name="csY0" fmla="*/ 58293 h 58293"/>
            <a:gd name="csX1" fmla="*/ 265748 w 304609"/>
            <a:gd name="csY1" fmla="*/ 40577 h 58293"/>
            <a:gd name="csX2" fmla="*/ 269748 w 304609"/>
            <a:gd name="csY2" fmla="*/ 58293 h 58293"/>
            <a:gd name="csX3" fmla="*/ 304610 w 304609"/>
            <a:gd name="csY3" fmla="*/ 58293 h 58293"/>
            <a:gd name="csX4" fmla="*/ 293180 w 304609"/>
            <a:gd name="csY4" fmla="*/ 0 h 58293"/>
            <a:gd name="csX5" fmla="*/ 0 w 304609"/>
            <a:gd name="csY5" fmla="*/ 58293 h 58293"/>
          </a:gdLst>
          <a:ahLst/>
          <a:cxnLst>
            <a:cxn ang="0">
              <a:pos x="csX0" y="csY0"/>
            </a:cxn>
            <a:cxn ang="0">
              <a:pos x="csX1" y="csY1"/>
            </a:cxn>
            <a:cxn ang="0">
              <a:pos x="csX2" y="csY2"/>
            </a:cxn>
            <a:cxn ang="0">
              <a:pos x="csX3" y="csY3"/>
            </a:cxn>
            <a:cxn ang="0">
              <a:pos x="csX4" y="csY4"/>
            </a:cxn>
            <a:cxn ang="0">
              <a:pos x="csX5" y="csY5"/>
            </a:cxn>
          </a:cxnLst>
          <a:rect l="l" t="t" r="r" b="b"/>
          <a:pathLst>
            <a:path w="304609" h="58293">
              <a:moveTo>
                <a:pt x="175451" y="58293"/>
              </a:moveTo>
              <a:lnTo>
                <a:pt x="265748" y="40577"/>
              </a:lnTo>
              <a:lnTo>
                <a:pt x="269748" y="58293"/>
              </a:lnTo>
              <a:lnTo>
                <a:pt x="304610" y="58293"/>
              </a:lnTo>
              <a:lnTo>
                <a:pt x="293180" y="0"/>
              </a:lnTo>
              <a:lnTo>
                <a:pt x="0" y="58293"/>
              </a:lnTo>
              <a:close/>
            </a:path>
          </a:pathLst>
        </a:custGeom>
        <a:solidFill>
          <a:schemeClr val="tx2">
            <a:lumMod val="90000"/>
            <a:lumOff val="10000"/>
          </a:schemeClr>
        </a:solidFill>
        <a:ln w="5655" cap="flat">
          <a:noFill/>
          <a:prstDash val="solid"/>
          <a:miter/>
        </a:ln>
      </xdr:spPr>
    </xdr:sp>
    <xdr:clientData/>
  </xdr:twoCellAnchor>
  <xdr:twoCellAnchor>
    <xdr:from>
      <xdr:col>0</xdr:col>
      <xdr:colOff>151936</xdr:colOff>
      <xdr:row>26</xdr:row>
      <xdr:rowOff>88896</xdr:rowOff>
    </xdr:from>
    <xdr:to>
      <xdr:col>0</xdr:col>
      <xdr:colOff>317671</xdr:colOff>
      <xdr:row>27</xdr:row>
      <xdr:rowOff>73203</xdr:rowOff>
    </xdr:to>
    <xdr:sp macro="" textlink="">
      <xdr:nvSpPr>
        <xdr:cNvPr id="82" name="Free-form: Shape 81">
          <a:extLst>
            <a:ext uri="{FF2B5EF4-FFF2-40B4-BE49-F238E27FC236}">
              <a16:creationId xmlns:a16="http://schemas.microsoft.com/office/drawing/2014/main" id="{8A2B27DE-5489-19B9-1466-8F71BE86DCE6}"/>
            </a:ext>
          </a:extLst>
        </xdr:cNvPr>
        <xdr:cNvSpPr/>
      </xdr:nvSpPr>
      <xdr:spPr>
        <a:xfrm>
          <a:off x="151936" y="4806039"/>
          <a:ext cx="165735" cy="165735"/>
        </a:xfrm>
        <a:custGeom>
          <a:avLst/>
          <a:gdLst>
            <a:gd name="csX0" fmla="*/ 82868 w 165735"/>
            <a:gd name="csY0" fmla="*/ 111443 h 165735"/>
            <a:gd name="csX1" fmla="*/ 54293 w 165735"/>
            <a:gd name="csY1" fmla="*/ 82868 h 165735"/>
            <a:gd name="csX2" fmla="*/ 82868 w 165735"/>
            <a:gd name="csY2" fmla="*/ 54293 h 165735"/>
            <a:gd name="csX3" fmla="*/ 111443 w 165735"/>
            <a:gd name="csY3" fmla="*/ 82868 h 165735"/>
            <a:gd name="csX4" fmla="*/ 82868 w 165735"/>
            <a:gd name="csY4" fmla="*/ 111443 h 165735"/>
            <a:gd name="csX5" fmla="*/ 82868 w 165735"/>
            <a:gd name="csY5" fmla="*/ 0 h 165735"/>
            <a:gd name="csX6" fmla="*/ 0 w 165735"/>
            <a:gd name="csY6" fmla="*/ 82868 h 165735"/>
            <a:gd name="csX7" fmla="*/ 82868 w 165735"/>
            <a:gd name="csY7" fmla="*/ 165735 h 165735"/>
            <a:gd name="csX8" fmla="*/ 165735 w 165735"/>
            <a:gd name="csY8" fmla="*/ 82868 h 165735"/>
            <a:gd name="csX9" fmla="*/ 82868 w 165735"/>
            <a:gd name="csY9" fmla="*/ 0 h 16573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165735" h="165735">
              <a:moveTo>
                <a:pt x="82868" y="111443"/>
              </a:moveTo>
              <a:cubicBezTo>
                <a:pt x="66866" y="111443"/>
                <a:pt x="54293" y="98870"/>
                <a:pt x="54293" y="82868"/>
              </a:cubicBezTo>
              <a:cubicBezTo>
                <a:pt x="54293" y="66865"/>
                <a:pt x="66866" y="54293"/>
                <a:pt x="82868" y="54293"/>
              </a:cubicBezTo>
              <a:cubicBezTo>
                <a:pt x="98869" y="54293"/>
                <a:pt x="111443" y="66865"/>
                <a:pt x="111443" y="82868"/>
              </a:cubicBezTo>
              <a:cubicBezTo>
                <a:pt x="111443" y="98870"/>
                <a:pt x="98298" y="111443"/>
                <a:pt x="82868" y="111443"/>
              </a:cubicBezTo>
              <a:close/>
              <a:moveTo>
                <a:pt x="82868" y="0"/>
              </a:moveTo>
              <a:cubicBezTo>
                <a:pt x="37148" y="0"/>
                <a:pt x="0" y="37148"/>
                <a:pt x="0" y="82868"/>
              </a:cubicBezTo>
              <a:cubicBezTo>
                <a:pt x="0" y="128588"/>
                <a:pt x="37148" y="165735"/>
                <a:pt x="82868" y="165735"/>
              </a:cubicBezTo>
              <a:cubicBezTo>
                <a:pt x="128588" y="165735"/>
                <a:pt x="165735" y="128588"/>
                <a:pt x="165735" y="82868"/>
              </a:cubicBezTo>
              <a:cubicBezTo>
                <a:pt x="165735" y="37148"/>
                <a:pt x="128588" y="0"/>
                <a:pt x="82868" y="0"/>
              </a:cubicBezTo>
              <a:close/>
            </a:path>
          </a:pathLst>
        </a:custGeom>
        <a:solidFill>
          <a:schemeClr val="tx2">
            <a:lumMod val="90000"/>
            <a:lumOff val="10000"/>
          </a:schemeClr>
        </a:solidFill>
        <a:ln w="5655" cap="flat">
          <a:noFill/>
          <a:prstDash val="solid"/>
          <a:miter/>
        </a:ln>
      </xdr:spPr>
    </xdr:sp>
    <xdr:clientData/>
  </xdr:twoCellAnchor>
  <xdr:twoCellAnchor>
    <xdr:from>
      <xdr:col>0</xdr:col>
      <xdr:colOff>303349</xdr:colOff>
      <xdr:row>25</xdr:row>
      <xdr:rowOff>155371</xdr:rowOff>
    </xdr:from>
    <xdr:to>
      <xdr:col>0</xdr:col>
      <xdr:colOff>491948</xdr:colOff>
      <xdr:row>26</xdr:row>
      <xdr:rowOff>122535</xdr:rowOff>
    </xdr:to>
    <xdr:sp macro="" textlink="">
      <xdr:nvSpPr>
        <xdr:cNvPr id="83" name="Rectangle 82">
          <a:extLst>
            <a:ext uri="{FF2B5EF4-FFF2-40B4-BE49-F238E27FC236}">
              <a16:creationId xmlns:a16="http://schemas.microsoft.com/office/drawing/2014/main" id="{83E83AD8-26C8-107A-4FA5-CB54C05B45BB}"/>
            </a:ext>
          </a:extLst>
        </xdr:cNvPr>
        <xdr:cNvSpPr/>
      </xdr:nvSpPr>
      <xdr:spPr>
        <a:xfrm rot="14849974">
          <a:off x="323352" y="4671082"/>
          <a:ext cx="148593" cy="188599"/>
        </a:xfrm>
        <a:prstGeom prst="rect">
          <a:avLst/>
        </a:prstGeom>
        <a:solidFill>
          <a:schemeClr val="tx2">
            <a:lumMod val="90000"/>
            <a:lumOff val="10000"/>
          </a:schemeClr>
        </a:solidFill>
        <a:ln w="5655" cap="flat">
          <a:noFill/>
          <a:prstDash val="solid"/>
          <a:miter/>
        </a:ln>
      </xdr:spPr>
    </xdr:sp>
    <xdr:clientData/>
  </xdr:twoCellAnchor>
  <xdr:twoCellAnchor>
    <xdr:from>
      <xdr:col>0</xdr:col>
      <xdr:colOff>103038</xdr:colOff>
      <xdr:row>25</xdr:row>
      <xdr:rowOff>2291</xdr:rowOff>
    </xdr:from>
    <xdr:to>
      <xdr:col>0</xdr:col>
      <xdr:colOff>283381</xdr:colOff>
      <xdr:row>26</xdr:row>
      <xdr:rowOff>78608</xdr:rowOff>
    </xdr:to>
    <xdr:sp macro="" textlink="">
      <xdr:nvSpPr>
        <xdr:cNvPr id="84" name="Free-form: Shape 83">
          <a:extLst>
            <a:ext uri="{FF2B5EF4-FFF2-40B4-BE49-F238E27FC236}">
              <a16:creationId xmlns:a16="http://schemas.microsoft.com/office/drawing/2014/main" id="{1664AF28-2602-4057-5C11-4C6A04DB0773}"/>
            </a:ext>
          </a:extLst>
        </xdr:cNvPr>
        <xdr:cNvSpPr/>
      </xdr:nvSpPr>
      <xdr:spPr>
        <a:xfrm>
          <a:off x="103038" y="4538005"/>
          <a:ext cx="180343" cy="257746"/>
        </a:xfrm>
        <a:custGeom>
          <a:avLst/>
          <a:gdLst>
            <a:gd name="csX0" fmla="*/ 138624 w 180343"/>
            <a:gd name="csY0" fmla="*/ 245745 h 257746"/>
            <a:gd name="csX1" fmla="*/ 180344 w 180343"/>
            <a:gd name="csY1" fmla="*/ 257747 h 257746"/>
            <a:gd name="csX2" fmla="*/ 76331 w 180343"/>
            <a:gd name="csY2" fmla="*/ 1714 h 257746"/>
            <a:gd name="csX3" fmla="*/ 75759 w 180343"/>
            <a:gd name="csY3" fmla="*/ 0 h 257746"/>
            <a:gd name="csX4" fmla="*/ 43755 w 180343"/>
            <a:gd name="csY4" fmla="*/ 13144 h 257746"/>
            <a:gd name="csX5" fmla="*/ 44327 w 180343"/>
            <a:gd name="csY5" fmla="*/ 14859 h 257746"/>
            <a:gd name="csX6" fmla="*/ 57471 w 180343"/>
            <a:gd name="csY6" fmla="*/ 47434 h 257746"/>
            <a:gd name="csX7" fmla="*/ 10608 w 180343"/>
            <a:gd name="csY7" fmla="*/ 66865 h 257746"/>
            <a:gd name="csX8" fmla="*/ 1464 w 180343"/>
            <a:gd name="csY8" fmla="*/ 89154 h 257746"/>
            <a:gd name="csX9" fmla="*/ 17466 w 180343"/>
            <a:gd name="csY9" fmla="*/ 100013 h 257746"/>
            <a:gd name="csX10" fmla="*/ 23753 w 180343"/>
            <a:gd name="csY10" fmla="*/ 98869 h 257746"/>
            <a:gd name="csX11" fmla="*/ 70616 w 180343"/>
            <a:gd name="csY11" fmla="*/ 79439 h 257746"/>
            <a:gd name="csX12" fmla="*/ 138624 w 180343"/>
            <a:gd name="csY12" fmla="*/ 245745 h 25774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80343" h="257746">
              <a:moveTo>
                <a:pt x="138624" y="245745"/>
              </a:moveTo>
              <a:cubicBezTo>
                <a:pt x="153483" y="246888"/>
                <a:pt x="167771" y="250889"/>
                <a:pt x="180344" y="257747"/>
              </a:cubicBezTo>
              <a:lnTo>
                <a:pt x="76331" y="1714"/>
              </a:lnTo>
              <a:cubicBezTo>
                <a:pt x="76331" y="1143"/>
                <a:pt x="75759" y="571"/>
                <a:pt x="75759" y="0"/>
              </a:cubicBezTo>
              <a:lnTo>
                <a:pt x="43755" y="13144"/>
              </a:lnTo>
              <a:cubicBezTo>
                <a:pt x="43755" y="13716"/>
                <a:pt x="44327" y="14288"/>
                <a:pt x="44327" y="14859"/>
              </a:cubicBezTo>
              <a:lnTo>
                <a:pt x="57471" y="47434"/>
              </a:lnTo>
              <a:lnTo>
                <a:pt x="10608" y="66865"/>
              </a:lnTo>
              <a:cubicBezTo>
                <a:pt x="2036" y="70294"/>
                <a:pt x="-2536" y="80582"/>
                <a:pt x="1464" y="89154"/>
              </a:cubicBezTo>
              <a:cubicBezTo>
                <a:pt x="4322" y="96012"/>
                <a:pt x="10608" y="100013"/>
                <a:pt x="17466" y="100013"/>
              </a:cubicBezTo>
              <a:cubicBezTo>
                <a:pt x="19752" y="100013"/>
                <a:pt x="22038" y="99441"/>
                <a:pt x="23753" y="98869"/>
              </a:cubicBezTo>
              <a:lnTo>
                <a:pt x="70616" y="79439"/>
              </a:lnTo>
              <a:lnTo>
                <a:pt x="138624" y="245745"/>
              </a:lnTo>
              <a:close/>
            </a:path>
          </a:pathLst>
        </a:custGeom>
        <a:solidFill>
          <a:schemeClr val="tx2">
            <a:lumMod val="90000"/>
            <a:lumOff val="10000"/>
          </a:schemeClr>
        </a:solidFill>
        <a:ln w="5655" cap="flat">
          <a:noFill/>
          <a:prstDash val="solid"/>
          <a:miter/>
        </a:ln>
      </xdr:spPr>
    </xdr:sp>
    <xdr:clientData/>
  </xdr:twoCellAnchor>
  <xdr:twoCellAnchor>
    <xdr:from>
      <xdr:col>0</xdr:col>
      <xdr:colOff>329101</xdr:colOff>
      <xdr:row>26</xdr:row>
      <xdr:rowOff>128329</xdr:rowOff>
    </xdr:from>
    <xdr:to>
      <xdr:col>0</xdr:col>
      <xdr:colOff>480548</xdr:colOff>
      <xdr:row>27</xdr:row>
      <xdr:rowOff>38341</xdr:rowOff>
    </xdr:to>
    <xdr:sp macro="" textlink="">
      <xdr:nvSpPr>
        <xdr:cNvPr id="85" name="Free-form: Shape 84">
          <a:extLst>
            <a:ext uri="{FF2B5EF4-FFF2-40B4-BE49-F238E27FC236}">
              <a16:creationId xmlns:a16="http://schemas.microsoft.com/office/drawing/2014/main" id="{5E7878CC-7903-2E3E-B8FC-14B29753EA0B}"/>
            </a:ext>
          </a:extLst>
        </xdr:cNvPr>
        <xdr:cNvSpPr/>
      </xdr:nvSpPr>
      <xdr:spPr>
        <a:xfrm>
          <a:off x="329101" y="4845472"/>
          <a:ext cx="151447" cy="91440"/>
        </a:xfrm>
        <a:custGeom>
          <a:avLst/>
          <a:gdLst>
            <a:gd name="csX0" fmla="*/ 134303 w 151447"/>
            <a:gd name="csY0" fmla="*/ 0 h 91440"/>
            <a:gd name="csX1" fmla="*/ 127444 w 151447"/>
            <a:gd name="csY1" fmla="*/ 1143 h 91440"/>
            <a:gd name="csX2" fmla="*/ 11430 w 151447"/>
            <a:gd name="csY2" fmla="*/ 49149 h 91440"/>
            <a:gd name="csX3" fmla="*/ 0 w 151447"/>
            <a:gd name="csY3" fmla="*/ 90869 h 91440"/>
            <a:gd name="csX4" fmla="*/ 0 w 151447"/>
            <a:gd name="csY4" fmla="*/ 91440 h 91440"/>
            <a:gd name="csX5" fmla="*/ 139446 w 151447"/>
            <a:gd name="csY5" fmla="*/ 33147 h 91440"/>
            <a:gd name="csX6" fmla="*/ 151448 w 151447"/>
            <a:gd name="csY6" fmla="*/ 17145 h 91440"/>
            <a:gd name="csX7" fmla="*/ 134303 w 151447"/>
            <a:gd name="csY7" fmla="*/ 0 h 914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1447" h="91440">
              <a:moveTo>
                <a:pt x="134303" y="0"/>
              </a:moveTo>
              <a:cubicBezTo>
                <a:pt x="132017" y="0"/>
                <a:pt x="129731" y="571"/>
                <a:pt x="127444" y="1143"/>
              </a:cubicBezTo>
              <a:lnTo>
                <a:pt x="11430" y="49149"/>
              </a:lnTo>
              <a:cubicBezTo>
                <a:pt x="10287" y="64008"/>
                <a:pt x="6858" y="78295"/>
                <a:pt x="0" y="90869"/>
              </a:cubicBezTo>
              <a:lnTo>
                <a:pt x="0" y="91440"/>
              </a:lnTo>
              <a:lnTo>
                <a:pt x="139446" y="33147"/>
              </a:lnTo>
              <a:cubicBezTo>
                <a:pt x="146304" y="30861"/>
                <a:pt x="151448" y="24574"/>
                <a:pt x="151448" y="17145"/>
              </a:cubicBezTo>
              <a:cubicBezTo>
                <a:pt x="151448" y="8001"/>
                <a:pt x="143447" y="0"/>
                <a:pt x="134303" y="0"/>
              </a:cubicBezTo>
              <a:close/>
            </a:path>
          </a:pathLst>
        </a:custGeom>
        <a:solidFill>
          <a:schemeClr val="tx2">
            <a:lumMod val="90000"/>
            <a:lumOff val="10000"/>
          </a:schemeClr>
        </a:solidFill>
        <a:ln w="5655" cap="flat">
          <a:noFill/>
          <a:prstDash val="solid"/>
          <a:miter/>
        </a:ln>
      </xdr:spPr>
    </xdr:sp>
    <xdr:clientData/>
  </xdr:twoCellAnchor>
  <xdr:twoCellAnchor>
    <xdr:from>
      <xdr:col>0</xdr:col>
      <xdr:colOff>361506</xdr:colOff>
      <xdr:row>30</xdr:row>
      <xdr:rowOff>178821</xdr:rowOff>
    </xdr:from>
    <xdr:to>
      <xdr:col>0</xdr:col>
      <xdr:colOff>450431</xdr:colOff>
      <xdr:row>31</xdr:row>
      <xdr:rowOff>86317</xdr:rowOff>
    </xdr:to>
    <xdr:sp macro="" textlink="">
      <xdr:nvSpPr>
        <xdr:cNvPr id="87" name="Oval 86">
          <a:extLst>
            <a:ext uri="{FF2B5EF4-FFF2-40B4-BE49-F238E27FC236}">
              <a16:creationId xmlns:a16="http://schemas.microsoft.com/office/drawing/2014/main" id="{222EE7F0-D157-B71F-6D02-F7D37764FD79}"/>
            </a:ext>
          </a:extLst>
        </xdr:cNvPr>
        <xdr:cNvSpPr/>
      </xdr:nvSpPr>
      <xdr:spPr>
        <a:xfrm>
          <a:off x="361506" y="5621678"/>
          <a:ext cx="88925" cy="88925"/>
        </a:xfrm>
        <a:prstGeom prst="ellipse">
          <a:avLst/>
        </a:prstGeom>
        <a:solidFill>
          <a:schemeClr val="tx2"/>
        </a:solidFill>
        <a:ln w="5655" cap="flat">
          <a:noFill/>
          <a:prstDash val="solid"/>
          <a:miter/>
        </a:ln>
      </xdr:spPr>
    </xdr:sp>
    <xdr:clientData/>
  </xdr:twoCellAnchor>
  <xdr:twoCellAnchor>
    <xdr:from>
      <xdr:col>0</xdr:col>
      <xdr:colOff>124390</xdr:colOff>
      <xdr:row>30</xdr:row>
      <xdr:rowOff>178821</xdr:rowOff>
    </xdr:from>
    <xdr:to>
      <xdr:col>0</xdr:col>
      <xdr:colOff>213315</xdr:colOff>
      <xdr:row>31</xdr:row>
      <xdr:rowOff>86317</xdr:rowOff>
    </xdr:to>
    <xdr:sp macro="" textlink="">
      <xdr:nvSpPr>
        <xdr:cNvPr id="88" name="Oval 87">
          <a:extLst>
            <a:ext uri="{FF2B5EF4-FFF2-40B4-BE49-F238E27FC236}">
              <a16:creationId xmlns:a16="http://schemas.microsoft.com/office/drawing/2014/main" id="{B32E16DB-E18A-8862-9B08-26EA2C7DCF4D}"/>
            </a:ext>
          </a:extLst>
        </xdr:cNvPr>
        <xdr:cNvSpPr/>
      </xdr:nvSpPr>
      <xdr:spPr>
        <a:xfrm>
          <a:off x="124390" y="5621678"/>
          <a:ext cx="88925" cy="88925"/>
        </a:xfrm>
        <a:prstGeom prst="ellipse">
          <a:avLst/>
        </a:prstGeom>
        <a:solidFill>
          <a:schemeClr val="tx2"/>
        </a:solidFill>
        <a:ln w="5655" cap="flat">
          <a:noFill/>
          <a:prstDash val="solid"/>
          <a:miter/>
        </a:ln>
      </xdr:spPr>
    </xdr:sp>
    <xdr:clientData/>
  </xdr:twoCellAnchor>
  <xdr:twoCellAnchor>
    <xdr:from>
      <xdr:col>0</xdr:col>
      <xdr:colOff>333902</xdr:colOff>
      <xdr:row>31</xdr:row>
      <xdr:rowOff>98375</xdr:rowOff>
    </xdr:from>
    <xdr:to>
      <xdr:col>0</xdr:col>
      <xdr:colOff>494901</xdr:colOff>
      <xdr:row>32</xdr:row>
      <xdr:rowOff>5987</xdr:rowOff>
    </xdr:to>
    <xdr:sp macro="" textlink="">
      <xdr:nvSpPr>
        <xdr:cNvPr id="89" name="Free-form: Shape 88">
          <a:extLst>
            <a:ext uri="{FF2B5EF4-FFF2-40B4-BE49-F238E27FC236}">
              <a16:creationId xmlns:a16="http://schemas.microsoft.com/office/drawing/2014/main" id="{4CA4C29D-D588-F2B0-F2B9-A26DD275C286}"/>
            </a:ext>
          </a:extLst>
        </xdr:cNvPr>
        <xdr:cNvSpPr/>
      </xdr:nvSpPr>
      <xdr:spPr>
        <a:xfrm>
          <a:off x="333902" y="5722661"/>
          <a:ext cx="160999" cy="89040"/>
        </a:xfrm>
        <a:custGeom>
          <a:avLst/>
          <a:gdLst>
            <a:gd name="csX0" fmla="*/ 152133 w 160999"/>
            <a:gd name="csY0" fmla="*/ 26461 h 89040"/>
            <a:gd name="csX1" fmla="*/ 108642 w 160999"/>
            <a:gd name="csY1" fmla="*/ 5715 h 89040"/>
            <a:gd name="csX2" fmla="*/ 72066 w 160999"/>
            <a:gd name="csY2" fmla="*/ 0 h 89040"/>
            <a:gd name="csX3" fmla="*/ 35547 w 160999"/>
            <a:gd name="csY3" fmla="*/ 5715 h 89040"/>
            <a:gd name="csX4" fmla="*/ 2057 w 160999"/>
            <a:gd name="csY4" fmla="*/ 20117 h 89040"/>
            <a:gd name="csX5" fmla="*/ 0 w 160999"/>
            <a:gd name="csY5" fmla="*/ 22460 h 89040"/>
            <a:gd name="csX6" fmla="*/ 45720 w 160999"/>
            <a:gd name="csY6" fmla="*/ 45320 h 89040"/>
            <a:gd name="csX7" fmla="*/ 62408 w 160999"/>
            <a:gd name="csY7" fmla="*/ 78867 h 89040"/>
            <a:gd name="csX8" fmla="*/ 62408 w 160999"/>
            <a:gd name="csY8" fmla="*/ 89040 h 89040"/>
            <a:gd name="csX9" fmla="*/ 160992 w 160999"/>
            <a:gd name="csY9" fmla="*/ 89040 h 89040"/>
            <a:gd name="csX10" fmla="*/ 160992 w 160999"/>
            <a:gd name="csY10" fmla="*/ 44292 h 89040"/>
            <a:gd name="csX11" fmla="*/ 152133 w 160999"/>
            <a:gd name="csY11" fmla="*/ 26461 h 89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160999" h="89040">
              <a:moveTo>
                <a:pt x="152133" y="26461"/>
              </a:moveTo>
              <a:cubicBezTo>
                <a:pt x="139305" y="16485"/>
                <a:pt x="124468" y="9407"/>
                <a:pt x="108642" y="5715"/>
              </a:cubicBezTo>
              <a:cubicBezTo>
                <a:pt x="96748" y="2241"/>
                <a:pt x="84453" y="319"/>
                <a:pt x="72066" y="0"/>
              </a:cubicBezTo>
              <a:cubicBezTo>
                <a:pt x="59669" y="-28"/>
                <a:pt x="47344" y="1901"/>
                <a:pt x="35547" y="5715"/>
              </a:cubicBezTo>
              <a:cubicBezTo>
                <a:pt x="23742" y="8859"/>
                <a:pt x="12459" y="13711"/>
                <a:pt x="2057" y="20117"/>
              </a:cubicBezTo>
              <a:lnTo>
                <a:pt x="0" y="22460"/>
              </a:lnTo>
              <a:cubicBezTo>
                <a:pt x="16616" y="26945"/>
                <a:pt x="32162" y="34719"/>
                <a:pt x="45720" y="45320"/>
              </a:cubicBezTo>
              <a:cubicBezTo>
                <a:pt x="56376" y="53149"/>
                <a:pt x="62592" y="65646"/>
                <a:pt x="62408" y="78867"/>
              </a:cubicBezTo>
              <a:lnTo>
                <a:pt x="62408" y="89040"/>
              </a:lnTo>
              <a:lnTo>
                <a:pt x="160992" y="89040"/>
              </a:lnTo>
              <a:lnTo>
                <a:pt x="160992" y="44292"/>
              </a:lnTo>
              <a:cubicBezTo>
                <a:pt x="161186" y="37245"/>
                <a:pt x="157867" y="30562"/>
                <a:pt x="152133" y="26461"/>
              </a:cubicBezTo>
              <a:close/>
            </a:path>
          </a:pathLst>
        </a:custGeom>
        <a:solidFill>
          <a:schemeClr val="tx2"/>
        </a:solidFill>
        <a:ln w="5655" cap="flat">
          <a:noFill/>
          <a:prstDash val="solid"/>
          <a:miter/>
        </a:ln>
      </xdr:spPr>
    </xdr:sp>
    <xdr:clientData/>
  </xdr:twoCellAnchor>
  <xdr:twoCellAnchor>
    <xdr:from>
      <xdr:col>0</xdr:col>
      <xdr:colOff>79870</xdr:colOff>
      <xdr:row>31</xdr:row>
      <xdr:rowOff>98375</xdr:rowOff>
    </xdr:from>
    <xdr:to>
      <xdr:col>0</xdr:col>
      <xdr:colOff>241090</xdr:colOff>
      <xdr:row>32</xdr:row>
      <xdr:rowOff>5987</xdr:rowOff>
    </xdr:to>
    <xdr:sp macro="" textlink="">
      <xdr:nvSpPr>
        <xdr:cNvPr id="90" name="Free-form: Shape 89">
          <a:extLst>
            <a:ext uri="{FF2B5EF4-FFF2-40B4-BE49-F238E27FC236}">
              <a16:creationId xmlns:a16="http://schemas.microsoft.com/office/drawing/2014/main" id="{8F26C9E1-0DF8-F9D5-383A-3530ED670504}"/>
            </a:ext>
          </a:extLst>
        </xdr:cNvPr>
        <xdr:cNvSpPr/>
      </xdr:nvSpPr>
      <xdr:spPr>
        <a:xfrm>
          <a:off x="79870" y="5722661"/>
          <a:ext cx="161220" cy="89040"/>
        </a:xfrm>
        <a:custGeom>
          <a:avLst/>
          <a:gdLst>
            <a:gd name="csX0" fmla="*/ 98812 w 161220"/>
            <a:gd name="csY0" fmla="*/ 78867 h 89040"/>
            <a:gd name="csX1" fmla="*/ 114872 w 161220"/>
            <a:gd name="csY1" fmla="*/ 45892 h 89040"/>
            <a:gd name="csX2" fmla="*/ 115500 w 161220"/>
            <a:gd name="csY2" fmla="*/ 45320 h 89040"/>
            <a:gd name="csX3" fmla="*/ 116243 w 161220"/>
            <a:gd name="csY3" fmla="*/ 44806 h 89040"/>
            <a:gd name="csX4" fmla="*/ 161220 w 161220"/>
            <a:gd name="csY4" fmla="*/ 22518 h 89040"/>
            <a:gd name="csX5" fmla="*/ 157963 w 161220"/>
            <a:gd name="csY5" fmla="*/ 18803 h 89040"/>
            <a:gd name="csX6" fmla="*/ 125501 w 161220"/>
            <a:gd name="csY6" fmla="*/ 5715 h 89040"/>
            <a:gd name="csX7" fmla="*/ 88983 w 161220"/>
            <a:gd name="csY7" fmla="*/ 0 h 89040"/>
            <a:gd name="csX8" fmla="*/ 52407 w 161220"/>
            <a:gd name="csY8" fmla="*/ 5715 h 89040"/>
            <a:gd name="csX9" fmla="*/ 8915 w 161220"/>
            <a:gd name="csY9" fmla="*/ 26461 h 89040"/>
            <a:gd name="csX10" fmla="*/ 0 w 161220"/>
            <a:gd name="csY10" fmla="*/ 44292 h 89040"/>
            <a:gd name="csX11" fmla="*/ 0 w 161220"/>
            <a:gd name="csY11" fmla="*/ 89040 h 89040"/>
            <a:gd name="csX12" fmla="*/ 98812 w 161220"/>
            <a:gd name="csY12" fmla="*/ 89040 h 89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61220" h="89040">
              <a:moveTo>
                <a:pt x="98812" y="78867"/>
              </a:moveTo>
              <a:cubicBezTo>
                <a:pt x="98821" y="65994"/>
                <a:pt x="104742" y="53837"/>
                <a:pt x="114872" y="45892"/>
              </a:cubicBezTo>
              <a:lnTo>
                <a:pt x="115500" y="45320"/>
              </a:lnTo>
              <a:lnTo>
                <a:pt x="116243" y="44806"/>
              </a:lnTo>
              <a:cubicBezTo>
                <a:pt x="129961" y="35044"/>
                <a:pt x="145143" y="27520"/>
                <a:pt x="161220" y="22518"/>
              </a:cubicBezTo>
              <a:cubicBezTo>
                <a:pt x="160077" y="21317"/>
                <a:pt x="158991" y="20060"/>
                <a:pt x="157963" y="18803"/>
              </a:cubicBezTo>
              <a:cubicBezTo>
                <a:pt x="147823" y="12912"/>
                <a:pt x="136891" y="8505"/>
                <a:pt x="125501" y="5715"/>
              </a:cubicBezTo>
              <a:cubicBezTo>
                <a:pt x="113626" y="2245"/>
                <a:pt x="101351" y="324"/>
                <a:pt x="88983" y="0"/>
              </a:cubicBezTo>
              <a:cubicBezTo>
                <a:pt x="76566" y="-32"/>
                <a:pt x="64222" y="1897"/>
                <a:pt x="52407" y="5715"/>
              </a:cubicBezTo>
              <a:cubicBezTo>
                <a:pt x="36803" y="10020"/>
                <a:pt x="22080" y="17043"/>
                <a:pt x="8915" y="26461"/>
              </a:cubicBezTo>
              <a:cubicBezTo>
                <a:pt x="3372" y="30727"/>
                <a:pt x="87" y="37297"/>
                <a:pt x="0" y="44292"/>
              </a:cubicBezTo>
              <a:lnTo>
                <a:pt x="0" y="89040"/>
              </a:lnTo>
              <a:lnTo>
                <a:pt x="98812" y="89040"/>
              </a:lnTo>
              <a:close/>
            </a:path>
          </a:pathLst>
        </a:custGeom>
        <a:solidFill>
          <a:schemeClr val="tx2"/>
        </a:solidFill>
        <a:ln w="5655" cap="flat">
          <a:noFill/>
          <a:prstDash val="solid"/>
          <a:miter/>
        </a:ln>
      </xdr:spPr>
    </xdr:sp>
    <xdr:clientData/>
  </xdr:twoCellAnchor>
  <xdr:twoCellAnchor>
    <xdr:from>
      <xdr:col>0</xdr:col>
      <xdr:colOff>198457</xdr:colOff>
      <xdr:row>31</xdr:row>
      <xdr:rowOff>133008</xdr:rowOff>
    </xdr:from>
    <xdr:to>
      <xdr:col>0</xdr:col>
      <xdr:colOff>376372</xdr:colOff>
      <xdr:row>32</xdr:row>
      <xdr:rowOff>40277</xdr:rowOff>
    </xdr:to>
    <xdr:sp macro="" textlink="">
      <xdr:nvSpPr>
        <xdr:cNvPr id="91" name="Free-form: Shape 90">
          <a:extLst>
            <a:ext uri="{FF2B5EF4-FFF2-40B4-BE49-F238E27FC236}">
              <a16:creationId xmlns:a16="http://schemas.microsoft.com/office/drawing/2014/main" id="{DEEE7488-0173-DBF5-88DC-5194E0EAAAFD}"/>
            </a:ext>
          </a:extLst>
        </xdr:cNvPr>
        <xdr:cNvSpPr/>
      </xdr:nvSpPr>
      <xdr:spPr>
        <a:xfrm>
          <a:off x="198457" y="5757294"/>
          <a:ext cx="177915" cy="88697"/>
        </a:xfrm>
        <a:custGeom>
          <a:avLst/>
          <a:gdLst>
            <a:gd name="csX0" fmla="*/ 0 w 177915"/>
            <a:gd name="csY0" fmla="*/ 88698 h 88697"/>
            <a:gd name="csX1" fmla="*/ 0 w 177915"/>
            <a:gd name="csY1" fmla="*/ 44235 h 88697"/>
            <a:gd name="csX2" fmla="*/ 8915 w 177915"/>
            <a:gd name="csY2" fmla="*/ 26462 h 88697"/>
            <a:gd name="csX3" fmla="*/ 52407 w 177915"/>
            <a:gd name="csY3" fmla="*/ 5716 h 88697"/>
            <a:gd name="csX4" fmla="*/ 88925 w 177915"/>
            <a:gd name="csY4" fmla="*/ 1 h 88697"/>
            <a:gd name="csX5" fmla="*/ 125501 w 177915"/>
            <a:gd name="csY5" fmla="*/ 5716 h 88697"/>
            <a:gd name="csX6" fmla="*/ 168993 w 177915"/>
            <a:gd name="csY6" fmla="*/ 26462 h 88697"/>
            <a:gd name="csX7" fmla="*/ 177908 w 177915"/>
            <a:gd name="csY7" fmla="*/ 44235 h 88697"/>
            <a:gd name="csX8" fmla="*/ 177908 w 177915"/>
            <a:gd name="csY8" fmla="*/ 88698 h 8869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77915" h="88697">
              <a:moveTo>
                <a:pt x="0" y="88698"/>
              </a:moveTo>
              <a:lnTo>
                <a:pt x="0" y="44235"/>
              </a:lnTo>
              <a:cubicBezTo>
                <a:pt x="27" y="37242"/>
                <a:pt x="3326" y="30664"/>
                <a:pt x="8915" y="26462"/>
              </a:cubicBezTo>
              <a:cubicBezTo>
                <a:pt x="22054" y="16999"/>
                <a:pt x="36785" y="9973"/>
                <a:pt x="52407" y="5716"/>
              </a:cubicBezTo>
              <a:cubicBezTo>
                <a:pt x="64197" y="1877"/>
                <a:pt x="76526" y="-53"/>
                <a:pt x="88925" y="1"/>
              </a:cubicBezTo>
              <a:cubicBezTo>
                <a:pt x="101316" y="292"/>
                <a:pt x="113613" y="2214"/>
                <a:pt x="125501" y="5716"/>
              </a:cubicBezTo>
              <a:cubicBezTo>
                <a:pt x="141344" y="9359"/>
                <a:pt x="156192" y="16441"/>
                <a:pt x="168993" y="26462"/>
              </a:cubicBezTo>
              <a:cubicBezTo>
                <a:pt x="174746" y="30525"/>
                <a:pt x="178091" y="37194"/>
                <a:pt x="177908" y="44235"/>
              </a:cubicBezTo>
              <a:lnTo>
                <a:pt x="177908" y="88698"/>
              </a:lnTo>
              <a:close/>
            </a:path>
          </a:pathLst>
        </a:custGeom>
        <a:solidFill>
          <a:schemeClr val="tx2"/>
        </a:solidFill>
        <a:ln w="5655" cap="flat">
          <a:noFill/>
          <a:prstDash val="solid"/>
          <a:miter/>
        </a:ln>
      </xdr:spPr>
    </xdr:sp>
    <xdr:clientData/>
  </xdr:twoCellAnchor>
  <xdr:twoCellAnchor>
    <xdr:from>
      <xdr:col>0</xdr:col>
      <xdr:colOff>242919</xdr:colOff>
      <xdr:row>31</xdr:row>
      <xdr:rowOff>31968</xdr:rowOff>
    </xdr:from>
    <xdr:to>
      <xdr:col>0</xdr:col>
      <xdr:colOff>331844</xdr:colOff>
      <xdr:row>31</xdr:row>
      <xdr:rowOff>120893</xdr:rowOff>
    </xdr:to>
    <xdr:sp macro="" textlink="">
      <xdr:nvSpPr>
        <xdr:cNvPr id="92" name="Oval 91">
          <a:extLst>
            <a:ext uri="{FF2B5EF4-FFF2-40B4-BE49-F238E27FC236}">
              <a16:creationId xmlns:a16="http://schemas.microsoft.com/office/drawing/2014/main" id="{55607119-052A-8C32-1E31-500A55FE0197}"/>
            </a:ext>
          </a:extLst>
        </xdr:cNvPr>
        <xdr:cNvSpPr/>
      </xdr:nvSpPr>
      <xdr:spPr>
        <a:xfrm>
          <a:off x="242919" y="5656254"/>
          <a:ext cx="88925" cy="88925"/>
        </a:xfrm>
        <a:prstGeom prst="ellipse">
          <a:avLst/>
        </a:prstGeom>
        <a:solidFill>
          <a:schemeClr val="tx2"/>
        </a:solidFill>
        <a:ln w="5655" cap="flat">
          <a:noFill/>
          <a:prstDash val="solid"/>
          <a:miter/>
        </a:ln>
      </xdr:spPr>
    </xdr:sp>
    <xdr:clientData/>
  </xdr:twoCellAnchor>
  <xdr:twoCellAnchor>
    <xdr:from>
      <xdr:col>0</xdr:col>
      <xdr:colOff>80213</xdr:colOff>
      <xdr:row>29</xdr:row>
      <xdr:rowOff>127363</xdr:rowOff>
    </xdr:from>
    <xdr:to>
      <xdr:col>0</xdr:col>
      <xdr:colOff>495979</xdr:colOff>
      <xdr:row>30</xdr:row>
      <xdr:rowOff>151675</xdr:rowOff>
    </xdr:to>
    <xdr:sp macro="" textlink="">
      <xdr:nvSpPr>
        <xdr:cNvPr id="93" name="Free-form: Shape 92">
          <a:extLst>
            <a:ext uri="{FF2B5EF4-FFF2-40B4-BE49-F238E27FC236}">
              <a16:creationId xmlns:a16="http://schemas.microsoft.com/office/drawing/2014/main" id="{11169B7D-B8A0-9AA3-166B-DB74072B9DC4}"/>
            </a:ext>
          </a:extLst>
        </xdr:cNvPr>
        <xdr:cNvSpPr/>
      </xdr:nvSpPr>
      <xdr:spPr>
        <a:xfrm>
          <a:off x="80213" y="5388792"/>
          <a:ext cx="415766" cy="205740"/>
        </a:xfrm>
        <a:custGeom>
          <a:avLst/>
          <a:gdLst>
            <a:gd name="csX0" fmla="*/ 392906 w 415766"/>
            <a:gd name="csY0" fmla="*/ 0 h 205740"/>
            <a:gd name="csX1" fmla="*/ 22860 w 415766"/>
            <a:gd name="csY1" fmla="*/ 0 h 205740"/>
            <a:gd name="csX2" fmla="*/ 0 w 415766"/>
            <a:gd name="csY2" fmla="*/ 22860 h 205740"/>
            <a:gd name="csX3" fmla="*/ 0 w 415766"/>
            <a:gd name="csY3" fmla="*/ 148590 h 205740"/>
            <a:gd name="csX4" fmla="*/ 22860 w 415766"/>
            <a:gd name="csY4" fmla="*/ 171450 h 205740"/>
            <a:gd name="csX5" fmla="*/ 107156 w 415766"/>
            <a:gd name="csY5" fmla="*/ 171450 h 205740"/>
            <a:gd name="csX6" fmla="*/ 107156 w 415766"/>
            <a:gd name="csY6" fmla="*/ 205740 h 205740"/>
            <a:gd name="csX7" fmla="*/ 143161 w 415766"/>
            <a:gd name="csY7" fmla="*/ 171450 h 205740"/>
            <a:gd name="csX8" fmla="*/ 182023 w 415766"/>
            <a:gd name="csY8" fmla="*/ 171450 h 205740"/>
            <a:gd name="csX9" fmla="*/ 204311 w 415766"/>
            <a:gd name="csY9" fmla="*/ 205740 h 205740"/>
            <a:gd name="csX10" fmla="*/ 224885 w 415766"/>
            <a:gd name="csY10" fmla="*/ 171450 h 205740"/>
            <a:gd name="csX11" fmla="*/ 265462 w 415766"/>
            <a:gd name="csY11" fmla="*/ 171450 h 205740"/>
            <a:gd name="csX12" fmla="*/ 301466 w 415766"/>
            <a:gd name="csY12" fmla="*/ 205740 h 205740"/>
            <a:gd name="csX13" fmla="*/ 301466 w 415766"/>
            <a:gd name="csY13" fmla="*/ 171450 h 205740"/>
            <a:gd name="csX14" fmla="*/ 392906 w 415766"/>
            <a:gd name="csY14" fmla="*/ 171450 h 205740"/>
            <a:gd name="csX15" fmla="*/ 415766 w 415766"/>
            <a:gd name="csY15" fmla="*/ 148590 h 205740"/>
            <a:gd name="csX16" fmla="*/ 415766 w 415766"/>
            <a:gd name="csY16" fmla="*/ 22860 h 205740"/>
            <a:gd name="csX17" fmla="*/ 392906 w 415766"/>
            <a:gd name="csY17" fmla="*/ 0 h 205740"/>
            <a:gd name="csX18" fmla="*/ 57150 w 415766"/>
            <a:gd name="csY18" fmla="*/ 51435 h 205740"/>
            <a:gd name="csX19" fmla="*/ 324326 w 415766"/>
            <a:gd name="csY19" fmla="*/ 51435 h 205740"/>
            <a:gd name="csX20" fmla="*/ 324326 w 415766"/>
            <a:gd name="csY20" fmla="*/ 62865 h 205740"/>
            <a:gd name="csX21" fmla="*/ 57150 w 415766"/>
            <a:gd name="csY21" fmla="*/ 62865 h 205740"/>
            <a:gd name="csX22" fmla="*/ 267176 w 415766"/>
            <a:gd name="csY22" fmla="*/ 120015 h 205740"/>
            <a:gd name="csX23" fmla="*/ 57150 w 415766"/>
            <a:gd name="csY23" fmla="*/ 120015 h 205740"/>
            <a:gd name="csX24" fmla="*/ 57150 w 415766"/>
            <a:gd name="csY24" fmla="*/ 108585 h 205740"/>
            <a:gd name="csX25" fmla="*/ 267176 w 415766"/>
            <a:gd name="csY25" fmla="*/ 108585 h 205740"/>
            <a:gd name="csX26" fmla="*/ 358616 w 415766"/>
            <a:gd name="csY26" fmla="*/ 91440 h 205740"/>
            <a:gd name="csX27" fmla="*/ 57150 w 415766"/>
            <a:gd name="csY27" fmla="*/ 91440 h 205740"/>
            <a:gd name="csX28" fmla="*/ 57150 w 415766"/>
            <a:gd name="csY28" fmla="*/ 80010 h 205740"/>
            <a:gd name="csX29" fmla="*/ 358616 w 415766"/>
            <a:gd name="csY29" fmla="*/ 80010 h 2057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Lst>
          <a:rect l="l" t="t" r="r" b="b"/>
          <a:pathLst>
            <a:path w="415766" h="205740">
              <a:moveTo>
                <a:pt x="392906" y="0"/>
              </a:moveTo>
              <a:lnTo>
                <a:pt x="22860" y="0"/>
              </a:lnTo>
              <a:cubicBezTo>
                <a:pt x="10235" y="0"/>
                <a:pt x="0" y="10235"/>
                <a:pt x="0" y="22860"/>
              </a:cubicBezTo>
              <a:lnTo>
                <a:pt x="0" y="148590"/>
              </a:lnTo>
              <a:cubicBezTo>
                <a:pt x="0" y="161215"/>
                <a:pt x="10235" y="171450"/>
                <a:pt x="22860" y="171450"/>
              </a:cubicBezTo>
              <a:lnTo>
                <a:pt x="107156" y="171450"/>
              </a:lnTo>
              <a:lnTo>
                <a:pt x="107156" y="205740"/>
              </a:lnTo>
              <a:lnTo>
                <a:pt x="143161" y="171450"/>
              </a:lnTo>
              <a:lnTo>
                <a:pt x="182023" y="171450"/>
              </a:lnTo>
              <a:lnTo>
                <a:pt x="204311" y="205740"/>
              </a:lnTo>
              <a:lnTo>
                <a:pt x="224885" y="171450"/>
              </a:lnTo>
              <a:lnTo>
                <a:pt x="265462" y="171450"/>
              </a:lnTo>
              <a:lnTo>
                <a:pt x="301466" y="205740"/>
              </a:lnTo>
              <a:lnTo>
                <a:pt x="301466" y="171450"/>
              </a:lnTo>
              <a:lnTo>
                <a:pt x="392906" y="171450"/>
              </a:lnTo>
              <a:cubicBezTo>
                <a:pt x="405531" y="171450"/>
                <a:pt x="415766" y="161215"/>
                <a:pt x="415766" y="148590"/>
              </a:cubicBezTo>
              <a:lnTo>
                <a:pt x="415766" y="22860"/>
              </a:lnTo>
              <a:cubicBezTo>
                <a:pt x="415766" y="10235"/>
                <a:pt x="405531" y="0"/>
                <a:pt x="392906" y="0"/>
              </a:cubicBezTo>
              <a:close/>
              <a:moveTo>
                <a:pt x="57150" y="51435"/>
              </a:moveTo>
              <a:lnTo>
                <a:pt x="324326" y="51435"/>
              </a:lnTo>
              <a:lnTo>
                <a:pt x="324326" y="62865"/>
              </a:lnTo>
              <a:lnTo>
                <a:pt x="57150" y="62865"/>
              </a:lnTo>
              <a:close/>
              <a:moveTo>
                <a:pt x="267176" y="120015"/>
              </a:moveTo>
              <a:lnTo>
                <a:pt x="57150" y="120015"/>
              </a:lnTo>
              <a:lnTo>
                <a:pt x="57150" y="108585"/>
              </a:lnTo>
              <a:lnTo>
                <a:pt x="267176" y="108585"/>
              </a:lnTo>
              <a:close/>
              <a:moveTo>
                <a:pt x="358616" y="91440"/>
              </a:moveTo>
              <a:lnTo>
                <a:pt x="57150" y="91440"/>
              </a:lnTo>
              <a:lnTo>
                <a:pt x="57150" y="80010"/>
              </a:lnTo>
              <a:lnTo>
                <a:pt x="358616" y="80010"/>
              </a:lnTo>
              <a:close/>
            </a:path>
          </a:pathLst>
        </a:custGeom>
        <a:solidFill>
          <a:schemeClr val="tx2"/>
        </a:solidFill>
        <a:ln w="5655" cap="flat">
          <a:noFill/>
          <a:prstDash val="solid"/>
          <a:miter/>
        </a:ln>
      </xdr:spPr>
    </xdr:sp>
    <xdr:clientData/>
  </xdr:twoCellAnchor>
  <xdr:twoCellAnchor>
    <xdr:from>
      <xdr:col>1</xdr:col>
      <xdr:colOff>290278</xdr:colOff>
      <xdr:row>41</xdr:row>
      <xdr:rowOff>27216</xdr:rowOff>
    </xdr:from>
    <xdr:to>
      <xdr:col>7</xdr:col>
      <xdr:colOff>575484</xdr:colOff>
      <xdr:row>43</xdr:row>
      <xdr:rowOff>9072</xdr:rowOff>
    </xdr:to>
    <xdr:sp macro="" textlink="">
      <xdr:nvSpPr>
        <xdr:cNvPr id="95" name="Rectangle: Rounded Corners 94">
          <a:extLst>
            <a:ext uri="{FF2B5EF4-FFF2-40B4-BE49-F238E27FC236}">
              <a16:creationId xmlns:a16="http://schemas.microsoft.com/office/drawing/2014/main" id="{B41A541D-29A3-95AD-338B-7E92B13DE774}"/>
            </a:ext>
          </a:extLst>
        </xdr:cNvPr>
        <xdr:cNvSpPr/>
      </xdr:nvSpPr>
      <xdr:spPr>
        <a:xfrm>
          <a:off x="898064" y="7465787"/>
          <a:ext cx="3931920" cy="344714"/>
        </a:xfrm>
        <a:prstGeom prst="roundRect">
          <a:avLst/>
        </a:prstGeom>
        <a:solidFill>
          <a:schemeClr val="tx2">
            <a:lumMod val="50000"/>
            <a:lumOff val="50000"/>
          </a:schemeClr>
        </a:solidFill>
        <a:ln>
          <a:solidFill>
            <a:schemeClr val="tx2">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Created</a:t>
          </a:r>
          <a:r>
            <a:rPr lang="en-US" sz="1200" b="1" baseline="0">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rPr>
            <a:t> By Mohamed Salem Excel Dashboard Project</a:t>
          </a:r>
          <a:endParaRPr lang="en-US" sz="1200" b="1">
            <a:solidFill>
              <a:schemeClr val="accent1">
                <a:lumMod val="5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KANDIEL" refreshedDate="46055.003745138885" backgroundQuery="1" createdVersion="8" refreshedVersion="8" minRefreshableVersion="3" recordCount="0" supportSubquery="1" supportAdvancedDrill="1" xr:uid="{EC1B0FC1-5669-454A-8FB9-5DE99CAC5E78}">
  <cacheSource type="external" connectionId="9"/>
  <cacheFields count="2">
    <cacheField name="[Measures].[Sum of Revenue]" caption="Sum of Revenue" numFmtId="0" hierarchy="42" level="32767"/>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Project Excel].[Content]" caption="Content" attribute="1" defaultMemberUniqueName="[New Project Excel].[Content].[All]" allUniqueName="[New Project Excel].[Content].[All]" dimensionUniqueName="[New Project Excel]" displayFolder="" count="0" memberValueDatatype="130" unbalanced="0"/>
    <cacheHierarchy uniqueName="[New Project Excel].[Name]" caption="Name" attribute="1" defaultMemberUniqueName="[New Project Excel].[Name].[All]" allUniqueName="[New Project Excel].[Name].[All]" dimensionUniqueName="[New Project Excel]" displayFolder="" count="0" memberValueDatatype="130" unbalanced="0"/>
    <cacheHierarchy uniqueName="[New Project Excel].[Extension]" caption="Extension" attribute="1" defaultMemberUniqueName="[New Project Excel].[Extension].[All]" allUniqueName="[New Project Excel].[Extension].[All]" dimensionUniqueName="[New Project Excel]" displayFolder="" count="0" memberValueDatatype="130" unbalanced="0"/>
    <cacheHierarchy uniqueName="[New Project Excel].[Date accessed]" caption="Date accessed" attribute="1" time="1" defaultMemberUniqueName="[New Project Excel].[Date accessed].[All]" allUniqueName="[New Project Excel].[Date accessed].[All]" dimensionUniqueName="[New Project Excel]" displayFolder="" count="0" memberValueDatatype="7" unbalanced="0"/>
    <cacheHierarchy uniqueName="[New Project Excel].[Date modified]" caption="Date modified" attribute="1" time="1" defaultMemberUniqueName="[New Project Excel].[Date modified].[All]" allUniqueName="[New Project Excel].[Date modified].[All]" dimensionUniqueName="[New Project Excel]" displayFolder="" count="0" memberValueDatatype="7" unbalanced="0"/>
    <cacheHierarchy uniqueName="[New Project Excel].[Date created]" caption="Date created" attribute="1" time="1" defaultMemberUniqueName="[New Project Excel].[Date created].[All]" allUniqueName="[New Project Excel].[Date created].[All]" dimensionUniqueName="[New Project Excel]" displayFolder="" count="0" memberValueDatatype="7" unbalanced="0"/>
    <cacheHierarchy uniqueName="[New Project Excel].[Folder Path]" caption="Folder Path" attribute="1" defaultMemberUniqueName="[New Project Excel].[Folder Path].[All]" allUniqueName="[New Project Excel].[Folder Path].[All]" dimensionUniqueName="[New Projec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fff_delivery_order]" caption="Dfff_delivery_order" attribute="1" defaultMemberUniqueName="[Orders].[Dfff_delivery_order].[All]" allUniqueName="[Orders].[Df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Project Excel]" caption="__XL_Count New Project Excel" measure="1" displayFolder="" measureGroup="New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fff_delivery_order]" caption="Sum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fff_delivery_order]" caption="Average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measure="1" name="Measures" uniqueName="[Measures]" caption="Measures"/>
    <dimension name="New Project Excel" uniqueName="[New Project Excel]" caption="New Project Excel"/>
    <dimension name="Orders" uniqueName="[Orders]" caption="Orders"/>
    <dimension name="products" uniqueName="[products]" caption="products"/>
  </dimensions>
  <measureGroups count="4">
    <measureGroup name="Customers" caption="Customers"/>
    <measureGroup name="New Project Excel" caption="New Project Excel"/>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KANDIEL" refreshedDate="46055.003746064816" backgroundQuery="1" createdVersion="8" refreshedVersion="8" minRefreshableVersion="3" recordCount="0" supportSubquery="1" supportAdvancedDrill="1" xr:uid="{2D8E847B-5AC7-445A-BA40-5F6B4A9BE52F}">
  <cacheSource type="external" connectionId="9"/>
  <cacheFields count="2">
    <cacheField name="[Measures].[Sum of Revenue]" caption="Sum of Revenue" numFmtId="0" hierarchy="42" level="32767"/>
    <cacheField name="[Orders].[Hour(Order)].[Hour(Order)]" caption="Hour(Order)" numFmtId="0" hierarchy="25" level="1">
      <sharedItems containsSemiMixedTypes="0" containsString="0" containsNumber="1" containsInteger="1" minValue="5" maxValue="23" count="10">
        <n v="5"/>
        <n v="6"/>
        <n v="12"/>
        <n v="15"/>
        <n v="17"/>
        <n v="18"/>
        <n v="19"/>
        <n v="20"/>
        <n v="21"/>
        <n v="23"/>
      </sharedItems>
      <extLst>
        <ext xmlns:x15="http://schemas.microsoft.com/office/spreadsheetml/2010/11/main" uri="{4F2E5C28-24EA-4eb8-9CBF-B6C8F9C3D259}">
          <x15:cachedUniqueNames>
            <x15:cachedUniqueName index="0" name="[Orders].[Hour(Order)].&amp;[5]"/>
            <x15:cachedUniqueName index="1" name="[Orders].[Hour(Order)].&amp;[6]"/>
            <x15:cachedUniqueName index="2" name="[Orders].[Hour(Order)].&amp;[12]"/>
            <x15:cachedUniqueName index="3" name="[Orders].[Hour(Order)].&amp;[15]"/>
            <x15:cachedUniqueName index="4" name="[Orders].[Hour(Order)].&amp;[17]"/>
            <x15:cachedUniqueName index="5" name="[Orders].[Hour(Order)].&amp;[18]"/>
            <x15:cachedUniqueName index="6" name="[Orders].[Hour(Order)].&amp;[19]"/>
            <x15:cachedUniqueName index="7" name="[Orders].[Hour(Order)].&amp;[20]"/>
            <x15:cachedUniqueName index="8" name="[Orders].[Hour(Order)].&amp;[21]"/>
            <x15:cachedUniqueName index="9" name="[Orders].[Hour(Order)].&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Project Excel].[Content]" caption="Content" attribute="1" defaultMemberUniqueName="[New Project Excel].[Content].[All]" allUniqueName="[New Project Excel].[Content].[All]" dimensionUniqueName="[New Project Excel]" displayFolder="" count="0" memberValueDatatype="130" unbalanced="0"/>
    <cacheHierarchy uniqueName="[New Project Excel].[Name]" caption="Name" attribute="1" defaultMemberUniqueName="[New Project Excel].[Name].[All]" allUniqueName="[New Project Excel].[Name].[All]" dimensionUniqueName="[New Project Excel]" displayFolder="" count="0" memberValueDatatype="130" unbalanced="0"/>
    <cacheHierarchy uniqueName="[New Project Excel].[Extension]" caption="Extension" attribute="1" defaultMemberUniqueName="[New Project Excel].[Extension].[All]" allUniqueName="[New Project Excel].[Extension].[All]" dimensionUniqueName="[New Project Excel]" displayFolder="" count="0" memberValueDatatype="130" unbalanced="0"/>
    <cacheHierarchy uniqueName="[New Project Excel].[Date accessed]" caption="Date accessed" attribute="1" time="1" defaultMemberUniqueName="[New Project Excel].[Date accessed].[All]" allUniqueName="[New Project Excel].[Date accessed].[All]" dimensionUniqueName="[New Project Excel]" displayFolder="" count="0" memberValueDatatype="7" unbalanced="0"/>
    <cacheHierarchy uniqueName="[New Project Excel].[Date modified]" caption="Date modified" attribute="1" time="1" defaultMemberUniqueName="[New Project Excel].[Date modified].[All]" allUniqueName="[New Project Excel].[Date modified].[All]" dimensionUniqueName="[New Project Excel]" displayFolder="" count="0" memberValueDatatype="7" unbalanced="0"/>
    <cacheHierarchy uniqueName="[New Project Excel].[Date created]" caption="Date created" attribute="1" time="1" defaultMemberUniqueName="[New Project Excel].[Date created].[All]" allUniqueName="[New Project Excel].[Date created].[All]" dimensionUniqueName="[New Project Excel]" displayFolder="" count="0" memberValueDatatype="7" unbalanced="0"/>
    <cacheHierarchy uniqueName="[New Project Excel].[Folder Path]" caption="Folder Path" attribute="1" defaultMemberUniqueName="[New Project Excel].[Folder Path].[All]" allUniqueName="[New Project Excel].[Folder Path].[All]" dimensionUniqueName="[New Projec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1"/>
      </fieldsUsage>
    </cacheHierarchy>
    <cacheHierarchy uniqueName="[Orders].[Dfff_delivery_order]" caption="Dfff_delivery_order" attribute="1" defaultMemberUniqueName="[Orders].[Dfff_delivery_order].[All]" allUniqueName="[Orders].[Df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Project Excel]" caption="__XL_Count New Project Excel" measure="1" displayFolder="" measureGroup="New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fff_delivery_order]" caption="Sum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fff_delivery_order]" caption="Average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measure="1" name="Measures" uniqueName="[Measures]" caption="Measures"/>
    <dimension name="New Project Excel" uniqueName="[New Project Excel]" caption="New Project Excel"/>
    <dimension name="Orders" uniqueName="[Orders]" caption="Orders"/>
    <dimension name="products" uniqueName="[products]" caption="products"/>
  </dimensions>
  <measureGroups count="4">
    <measureGroup name="Customers" caption="Customers"/>
    <measureGroup name="New Project Excel" caption="New Project Excel"/>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KANDIEL" refreshedDate="46055.003746527778" backgroundQuery="1" createdVersion="8" refreshedVersion="8" minRefreshableVersion="3" recordCount="0" supportSubquery="1" supportAdvancedDrill="1" xr:uid="{25F46C3A-8074-458C-B8AC-670A71A1B889}">
  <cacheSource type="external" connectionId="9"/>
  <cacheFields count="1">
    <cacheField name="[Measures].[Count of Order_ID]" caption="Count of Order_ID" numFmtId="0" hierarchy="47"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Project Excel].[Content]" caption="Content" attribute="1" defaultMemberUniqueName="[New Project Excel].[Content].[All]" allUniqueName="[New Project Excel].[Content].[All]" dimensionUniqueName="[New Project Excel]" displayFolder="" count="0" memberValueDatatype="130" unbalanced="0"/>
    <cacheHierarchy uniqueName="[New Project Excel].[Name]" caption="Name" attribute="1" defaultMemberUniqueName="[New Project Excel].[Name].[All]" allUniqueName="[New Project Excel].[Name].[All]" dimensionUniqueName="[New Project Excel]" displayFolder="" count="0" memberValueDatatype="130" unbalanced="0"/>
    <cacheHierarchy uniqueName="[New Project Excel].[Extension]" caption="Extension" attribute="1" defaultMemberUniqueName="[New Project Excel].[Extension].[All]" allUniqueName="[New Project Excel].[Extension].[All]" dimensionUniqueName="[New Project Excel]" displayFolder="" count="0" memberValueDatatype="130" unbalanced="0"/>
    <cacheHierarchy uniqueName="[New Project Excel].[Date accessed]" caption="Date accessed" attribute="1" time="1" defaultMemberUniqueName="[New Project Excel].[Date accessed].[All]" allUniqueName="[New Project Excel].[Date accessed].[All]" dimensionUniqueName="[New Project Excel]" displayFolder="" count="0" memberValueDatatype="7" unbalanced="0"/>
    <cacheHierarchy uniqueName="[New Project Excel].[Date modified]" caption="Date modified" attribute="1" time="1" defaultMemberUniqueName="[New Project Excel].[Date modified].[All]" allUniqueName="[New Project Excel].[Date modified].[All]" dimensionUniqueName="[New Project Excel]" displayFolder="" count="0" memberValueDatatype="7" unbalanced="0"/>
    <cacheHierarchy uniqueName="[New Project Excel].[Date created]" caption="Date created" attribute="1" time="1" defaultMemberUniqueName="[New Project Excel].[Date created].[All]" allUniqueName="[New Project Excel].[Date created].[All]" dimensionUniqueName="[New Project Excel]" displayFolder="" count="0" memberValueDatatype="7" unbalanced="0"/>
    <cacheHierarchy uniqueName="[New Project Excel].[Folder Path]" caption="Folder Path" attribute="1" defaultMemberUniqueName="[New Project Excel].[Folder Path].[All]" allUniqueName="[New Project Excel].[Folder Path].[All]" dimensionUniqueName="[New Projec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fff_delivery_order]" caption="Dfff_delivery_order" attribute="1" defaultMemberUniqueName="[Orders].[Dfff_delivery_order].[All]" allUniqueName="[Orders].[Df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Project Excel]" caption="__XL_Count New Project Excel" measure="1" displayFolder="" measureGroup="New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fff_delivery_order]" caption="Sum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fff_delivery_order]" caption="Average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measure="1" name="Measures" uniqueName="[Measures]" caption="Measures"/>
    <dimension name="New Project Excel" uniqueName="[New Project Excel]" caption="New Project Excel"/>
    <dimension name="Orders" uniqueName="[Orders]" caption="Orders"/>
    <dimension name="products" uniqueName="[products]" caption="products"/>
  </dimensions>
  <measureGroups count="4">
    <measureGroup name="Customers" caption="Customers"/>
    <measureGroup name="New Project Excel" caption="New Project Excel"/>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KANDIEL" refreshedDate="46055.003747106479" backgroundQuery="1" createdVersion="8" refreshedVersion="8" minRefreshableVersion="3" recordCount="0" supportSubquery="1" supportAdvancedDrill="1" xr:uid="{24C0A813-FCCA-4CB8-82AA-863B19E1D3E9}">
  <cacheSource type="external" connectionId="9"/>
  <cacheFields count="1">
    <cacheField name="[Measures].[Sum of Revenue]" caption="Sum of Revenue" numFmtId="0" hierarchy="42"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Project Excel].[Content]" caption="Content" attribute="1" defaultMemberUniqueName="[New Project Excel].[Content].[All]" allUniqueName="[New Project Excel].[Content].[All]" dimensionUniqueName="[New Project Excel]" displayFolder="" count="0" memberValueDatatype="130" unbalanced="0"/>
    <cacheHierarchy uniqueName="[New Project Excel].[Name]" caption="Name" attribute="1" defaultMemberUniqueName="[New Project Excel].[Name].[All]" allUniqueName="[New Project Excel].[Name].[All]" dimensionUniqueName="[New Project Excel]" displayFolder="" count="0" memberValueDatatype="130" unbalanced="0"/>
    <cacheHierarchy uniqueName="[New Project Excel].[Extension]" caption="Extension" attribute="1" defaultMemberUniqueName="[New Project Excel].[Extension].[All]" allUniqueName="[New Project Excel].[Extension].[All]" dimensionUniqueName="[New Project Excel]" displayFolder="" count="0" memberValueDatatype="130" unbalanced="0"/>
    <cacheHierarchy uniqueName="[New Project Excel].[Date accessed]" caption="Date accessed" attribute="1" time="1" defaultMemberUniqueName="[New Project Excel].[Date accessed].[All]" allUniqueName="[New Project Excel].[Date accessed].[All]" dimensionUniqueName="[New Project Excel]" displayFolder="" count="0" memberValueDatatype="7" unbalanced="0"/>
    <cacheHierarchy uniqueName="[New Project Excel].[Date modified]" caption="Date modified" attribute="1" time="1" defaultMemberUniqueName="[New Project Excel].[Date modified].[All]" allUniqueName="[New Project Excel].[Date modified].[All]" dimensionUniqueName="[New Project Excel]" displayFolder="" count="0" memberValueDatatype="7" unbalanced="0"/>
    <cacheHierarchy uniqueName="[New Project Excel].[Date created]" caption="Date created" attribute="1" time="1" defaultMemberUniqueName="[New Project Excel].[Date created].[All]" allUniqueName="[New Project Excel].[Date created].[All]" dimensionUniqueName="[New Project Excel]" displayFolder="" count="0" memberValueDatatype="7" unbalanced="0"/>
    <cacheHierarchy uniqueName="[New Project Excel].[Folder Path]" caption="Folder Path" attribute="1" defaultMemberUniqueName="[New Project Excel].[Folder Path].[All]" allUniqueName="[New Project Excel].[Folder Path].[All]" dimensionUniqueName="[New Projec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fff_delivery_order]" caption="Dfff_delivery_order" attribute="1" defaultMemberUniqueName="[Orders].[Dfff_delivery_order].[All]" allUniqueName="[Orders].[Df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Project Excel]" caption="__XL_Count New Project Excel" measure="1" displayFolder="" measureGroup="New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fff_delivery_order]" caption="Sum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fff_delivery_order]" caption="Average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measure="1" name="Measures" uniqueName="[Measures]" caption="Measures"/>
    <dimension name="New Project Excel" uniqueName="[New Project Excel]" caption="New Project Excel"/>
    <dimension name="Orders" uniqueName="[Orders]" caption="Orders"/>
    <dimension name="products" uniqueName="[products]" caption="products"/>
  </dimensions>
  <measureGroups count="4">
    <measureGroup name="Customers" caption="Customers"/>
    <measureGroup name="New Project Excel" caption="New Project Excel"/>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KANDIEL" refreshedDate="46055.003747685187" backgroundQuery="1" createdVersion="8" refreshedVersion="8" minRefreshableVersion="3" recordCount="0" supportSubquery="1" supportAdvancedDrill="1" xr:uid="{908F8AD6-BAB0-4E07-9537-25FAE17251CB}">
  <cacheSource type="external" connectionId="9"/>
  <cacheFields count="1">
    <cacheField name="[Measures].[Average of Dfff_delivery_order]" caption="Average of Dfff_delivery_order" numFmtId="0" hierarchy="44"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Project Excel].[Content]" caption="Content" attribute="1" defaultMemberUniqueName="[New Project Excel].[Content].[All]" allUniqueName="[New Project Excel].[Content].[All]" dimensionUniqueName="[New Project Excel]" displayFolder="" count="0" memberValueDatatype="130" unbalanced="0"/>
    <cacheHierarchy uniqueName="[New Project Excel].[Name]" caption="Name" attribute="1" defaultMemberUniqueName="[New Project Excel].[Name].[All]" allUniqueName="[New Project Excel].[Name].[All]" dimensionUniqueName="[New Project Excel]" displayFolder="" count="0" memberValueDatatype="130" unbalanced="0"/>
    <cacheHierarchy uniqueName="[New Project Excel].[Extension]" caption="Extension" attribute="1" defaultMemberUniqueName="[New Project Excel].[Extension].[All]" allUniqueName="[New Project Excel].[Extension].[All]" dimensionUniqueName="[New Project Excel]" displayFolder="" count="0" memberValueDatatype="130" unbalanced="0"/>
    <cacheHierarchy uniqueName="[New Project Excel].[Date accessed]" caption="Date accessed" attribute="1" time="1" defaultMemberUniqueName="[New Project Excel].[Date accessed].[All]" allUniqueName="[New Project Excel].[Date accessed].[All]" dimensionUniqueName="[New Project Excel]" displayFolder="" count="0" memberValueDatatype="7" unbalanced="0"/>
    <cacheHierarchy uniqueName="[New Project Excel].[Date modified]" caption="Date modified" attribute="1" time="1" defaultMemberUniqueName="[New Project Excel].[Date modified].[All]" allUniqueName="[New Project Excel].[Date modified].[All]" dimensionUniqueName="[New Project Excel]" displayFolder="" count="0" memberValueDatatype="7" unbalanced="0"/>
    <cacheHierarchy uniqueName="[New Project Excel].[Date created]" caption="Date created" attribute="1" time="1" defaultMemberUniqueName="[New Project Excel].[Date created].[All]" allUniqueName="[New Project Excel].[Date created].[All]" dimensionUniqueName="[New Project Excel]" displayFolder="" count="0" memberValueDatatype="7" unbalanced="0"/>
    <cacheHierarchy uniqueName="[New Project Excel].[Folder Path]" caption="Folder Path" attribute="1" defaultMemberUniqueName="[New Project Excel].[Folder Path].[All]" allUniqueName="[New Project Excel].[Folder Path].[All]" dimensionUniqueName="[New Projec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fff_delivery_order]" caption="Dfff_delivery_order" attribute="1" defaultMemberUniqueName="[Orders].[Dfff_delivery_order].[All]" allUniqueName="[Orders].[Df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Project Excel]" caption="__XL_Count New Project Excel" measure="1" displayFolder="" measureGroup="New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fff_delivery_order]" caption="Sum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fff_delivery_order]" caption="Average of Dfff_delivery_order"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measure="1" name="Measures" uniqueName="[Measures]" caption="Measures"/>
    <dimension name="New Project Excel" uniqueName="[New Project Excel]" caption="New Project Excel"/>
    <dimension name="Orders" uniqueName="[Orders]" caption="Orders"/>
    <dimension name="products" uniqueName="[products]" caption="products"/>
  </dimensions>
  <measureGroups count="4">
    <measureGroup name="Customers" caption="Customers"/>
    <measureGroup name="New Project Excel" caption="New Project Excel"/>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KANDIEL" refreshedDate="46055.003748495372" backgroundQuery="1" createdVersion="8" refreshedVersion="8" minRefreshableVersion="3" recordCount="0" supportSubquery="1" supportAdvancedDrill="1" xr:uid="{55FC98DE-971C-4B72-B19F-EF8BD05E8724}">
  <cacheSource type="external" connectionId="9"/>
  <cacheFields count="2">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Project Excel].[Content]" caption="Content" attribute="1" defaultMemberUniqueName="[New Project Excel].[Content].[All]" allUniqueName="[New Project Excel].[Content].[All]" dimensionUniqueName="[New Project Excel]" displayFolder="" count="0" memberValueDatatype="130" unbalanced="0"/>
    <cacheHierarchy uniqueName="[New Project Excel].[Name]" caption="Name" attribute="1" defaultMemberUniqueName="[New Project Excel].[Name].[All]" allUniqueName="[New Project Excel].[Name].[All]" dimensionUniqueName="[New Project Excel]" displayFolder="" count="0" memberValueDatatype="130" unbalanced="0"/>
    <cacheHierarchy uniqueName="[New Project Excel].[Extension]" caption="Extension" attribute="1" defaultMemberUniqueName="[New Project Excel].[Extension].[All]" allUniqueName="[New Project Excel].[Extension].[All]" dimensionUniqueName="[New Project Excel]" displayFolder="" count="0" memberValueDatatype="130" unbalanced="0"/>
    <cacheHierarchy uniqueName="[New Project Excel].[Date accessed]" caption="Date accessed" attribute="1" time="1" defaultMemberUniqueName="[New Project Excel].[Date accessed].[All]" allUniqueName="[New Project Excel].[Date accessed].[All]" dimensionUniqueName="[New Project Excel]" displayFolder="" count="0" memberValueDatatype="7" unbalanced="0"/>
    <cacheHierarchy uniqueName="[New Project Excel].[Date modified]" caption="Date modified" attribute="1" time="1" defaultMemberUniqueName="[New Project Excel].[Date modified].[All]" allUniqueName="[New Project Excel].[Date modified].[All]" dimensionUniqueName="[New Project Excel]" displayFolder="" count="0" memberValueDatatype="7" unbalanced="0"/>
    <cacheHierarchy uniqueName="[New Project Excel].[Date created]" caption="Date created" attribute="1" time="1" defaultMemberUniqueName="[New Project Excel].[Date created].[All]" allUniqueName="[New Project Excel].[Date created].[All]" dimensionUniqueName="[New Project Excel]" displayFolder="" count="0" memberValueDatatype="7" unbalanced="0"/>
    <cacheHierarchy uniqueName="[New Project Excel].[Folder Path]" caption="Folder Path" attribute="1" defaultMemberUniqueName="[New Project Excel].[Folder Path].[All]" allUniqueName="[New Project Excel].[Folder Path].[All]" dimensionUniqueName="[New Projec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fff_delivery_order]" caption="Dfff_delivery_order" attribute="1" defaultMemberUniqueName="[Orders].[Dfff_delivery_order].[All]" allUniqueName="[Orders].[Df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Project Excel]" caption="__XL_Count New Project Excel" measure="1" displayFolder="" measureGroup="New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fff_delivery_order]" caption="Sum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fff_delivery_order]" caption="Average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measure="1" name="Measures" uniqueName="[Measures]" caption="Measures"/>
    <dimension name="New Project Excel" uniqueName="[New Project Excel]" caption="New Project Excel"/>
    <dimension name="Orders" uniqueName="[Orders]" caption="Orders"/>
    <dimension name="products" uniqueName="[products]" caption="products"/>
  </dimensions>
  <measureGroups count="4">
    <measureGroup name="Customers" caption="Customers"/>
    <measureGroup name="New Project Excel" caption="New Project Excel"/>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KANDIEL" refreshedDate="46055.003749421296" backgroundQuery="1" createdVersion="8" refreshedVersion="8" minRefreshableVersion="3" recordCount="0" supportSubquery="1" supportAdvancedDrill="1" xr:uid="{93B9AF15-6CC7-47EC-AD4B-2967FB98AC07}">
  <cacheSource type="external" connectionId="9"/>
  <cacheFields count="2">
    <cacheField name="[Measures].[Sum of Revenue]" caption="Sum of Revenue" numFmtId="0" hierarchy="42" level="32767"/>
    <cacheField name="[products].[Product_Name].[Product_Name]" caption="Product_Name" numFmtId="0" hierarchy="32" level="1">
      <sharedItems count="5">
        <s v="Deserunt Box"/>
        <s v="Dolores Gift"/>
        <s v="Harum Pack"/>
        <s v="Magnam Set"/>
        <s v="Quia Gift"/>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Project Excel].[Content]" caption="Content" attribute="1" defaultMemberUniqueName="[New Project Excel].[Content].[All]" allUniqueName="[New Project Excel].[Content].[All]" dimensionUniqueName="[New Project Excel]" displayFolder="" count="0" memberValueDatatype="130" unbalanced="0"/>
    <cacheHierarchy uniqueName="[New Project Excel].[Name]" caption="Name" attribute="1" defaultMemberUniqueName="[New Project Excel].[Name].[All]" allUniqueName="[New Project Excel].[Name].[All]" dimensionUniqueName="[New Project Excel]" displayFolder="" count="0" memberValueDatatype="130" unbalanced="0"/>
    <cacheHierarchy uniqueName="[New Project Excel].[Extension]" caption="Extension" attribute="1" defaultMemberUniqueName="[New Project Excel].[Extension].[All]" allUniqueName="[New Project Excel].[Extension].[All]" dimensionUniqueName="[New Project Excel]" displayFolder="" count="0" memberValueDatatype="130" unbalanced="0"/>
    <cacheHierarchy uniqueName="[New Project Excel].[Date accessed]" caption="Date accessed" attribute="1" time="1" defaultMemberUniqueName="[New Project Excel].[Date accessed].[All]" allUniqueName="[New Project Excel].[Date accessed].[All]" dimensionUniqueName="[New Project Excel]" displayFolder="" count="0" memberValueDatatype="7" unbalanced="0"/>
    <cacheHierarchy uniqueName="[New Project Excel].[Date modified]" caption="Date modified" attribute="1" time="1" defaultMemberUniqueName="[New Project Excel].[Date modified].[All]" allUniqueName="[New Project Excel].[Date modified].[All]" dimensionUniqueName="[New Project Excel]" displayFolder="" count="0" memberValueDatatype="7" unbalanced="0"/>
    <cacheHierarchy uniqueName="[New Project Excel].[Date created]" caption="Date created" attribute="1" time="1" defaultMemberUniqueName="[New Project Excel].[Date created].[All]" allUniqueName="[New Project Excel].[Date created].[All]" dimensionUniqueName="[New Project Excel]" displayFolder="" count="0" memberValueDatatype="7" unbalanced="0"/>
    <cacheHierarchy uniqueName="[New Project Excel].[Folder Path]" caption="Folder Path" attribute="1" defaultMemberUniqueName="[New Project Excel].[Folder Path].[All]" allUniqueName="[New Project Excel].[Folder Path].[All]" dimensionUniqueName="[New Projec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fff_delivery_order]" caption="Dfff_delivery_order" attribute="1" defaultMemberUniqueName="[Orders].[Dfff_delivery_order].[All]" allUniqueName="[Orders].[Df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Project Excel]" caption="__XL_Count New Project Excel" measure="1" displayFolder="" measureGroup="New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fff_delivery_order]" caption="Sum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fff_delivery_order]" caption="Average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measure="1" name="Measures" uniqueName="[Measures]" caption="Measures"/>
    <dimension name="New Project Excel" uniqueName="[New Project Excel]" caption="New Project Excel"/>
    <dimension name="Orders" uniqueName="[Orders]" caption="Orders"/>
    <dimension name="products" uniqueName="[products]" caption="products"/>
  </dimensions>
  <measureGroups count="4">
    <measureGroup name="Customers" caption="Customers"/>
    <measureGroup name="New Project Excel" caption="New Project Excel"/>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KANDIEL" refreshedDate="46055.003749768519" backgroundQuery="1" createdVersion="8" refreshedVersion="8" minRefreshableVersion="3" recordCount="0" supportSubquery="1" supportAdvancedDrill="1" xr:uid="{E5255380-4BE9-4438-A006-41ED38E5D0BF}">
  <cacheSource type="external" connectionId="9"/>
  <cacheFields count="1">
    <cacheField name="[Measures].[Average of Revenue]" caption="Average of Revenue" numFmtId="0" hierarchy="45"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Project Excel].[Content]" caption="Content" attribute="1" defaultMemberUniqueName="[New Project Excel].[Content].[All]" allUniqueName="[New Project Excel].[Content].[All]" dimensionUniqueName="[New Project Excel]" displayFolder="" count="0" memberValueDatatype="130" unbalanced="0"/>
    <cacheHierarchy uniqueName="[New Project Excel].[Name]" caption="Name" attribute="1" defaultMemberUniqueName="[New Project Excel].[Name].[All]" allUniqueName="[New Project Excel].[Name].[All]" dimensionUniqueName="[New Project Excel]" displayFolder="" count="0" memberValueDatatype="130" unbalanced="0"/>
    <cacheHierarchy uniqueName="[New Project Excel].[Extension]" caption="Extension" attribute="1" defaultMemberUniqueName="[New Project Excel].[Extension].[All]" allUniqueName="[New Project Excel].[Extension].[All]" dimensionUniqueName="[New Project Excel]" displayFolder="" count="0" memberValueDatatype="130" unbalanced="0"/>
    <cacheHierarchy uniqueName="[New Project Excel].[Date accessed]" caption="Date accessed" attribute="1" time="1" defaultMemberUniqueName="[New Project Excel].[Date accessed].[All]" allUniqueName="[New Project Excel].[Date accessed].[All]" dimensionUniqueName="[New Project Excel]" displayFolder="" count="0" memberValueDatatype="7" unbalanced="0"/>
    <cacheHierarchy uniqueName="[New Project Excel].[Date modified]" caption="Date modified" attribute="1" time="1" defaultMemberUniqueName="[New Project Excel].[Date modified].[All]" allUniqueName="[New Project Excel].[Date modified].[All]" dimensionUniqueName="[New Project Excel]" displayFolder="" count="0" memberValueDatatype="7" unbalanced="0"/>
    <cacheHierarchy uniqueName="[New Project Excel].[Date created]" caption="Date created" attribute="1" time="1" defaultMemberUniqueName="[New Project Excel].[Date created].[All]" allUniqueName="[New Project Excel].[Date created].[All]" dimensionUniqueName="[New Project Excel]" displayFolder="" count="0" memberValueDatatype="7" unbalanced="0"/>
    <cacheHierarchy uniqueName="[New Project Excel].[Folder Path]" caption="Folder Path" attribute="1" defaultMemberUniqueName="[New Project Excel].[Folder Path].[All]" allUniqueName="[New Project Excel].[Folder Path].[All]" dimensionUniqueName="[New Projec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fff_delivery_order]" caption="Dfff_delivery_order" attribute="1" defaultMemberUniqueName="[Orders].[Dfff_delivery_order].[All]" allUniqueName="[Orders].[Df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Project Excel]" caption="__XL_Count New Project Excel" measure="1" displayFolder="" measureGroup="New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fff_delivery_order]" caption="Sum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fff_delivery_order]" caption="Average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measure="1" name="Measures" uniqueName="[Measures]" caption="Measures"/>
    <dimension name="New Project Excel" uniqueName="[New Project Excel]" caption="New Project Excel"/>
    <dimension name="Orders" uniqueName="[Orders]" caption="Orders"/>
    <dimension name="products" uniqueName="[products]" caption="products"/>
  </dimensions>
  <measureGroups count="4">
    <measureGroup name="Customers" caption="Customers"/>
    <measureGroup name="New Project Excel" caption="New Project Excel"/>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KANDIEL" refreshedDate="46055.003750694443" backgroundQuery="1" createdVersion="8" refreshedVersion="8" minRefreshableVersion="3" recordCount="0" supportSubquery="1" supportAdvancedDrill="1" xr:uid="{ECFF0E80-EBC8-4DA5-A76E-982E1B58F06B}">
  <cacheSource type="external" connectionId="9"/>
  <cacheFields count="3">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42"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Project Excel].[Content]" caption="Content" attribute="1" defaultMemberUniqueName="[New Project Excel].[Content].[All]" allUniqueName="[New Project Excel].[Content].[All]" dimensionUniqueName="[New Project Excel]" displayFolder="" count="0" memberValueDatatype="130" unbalanced="0"/>
    <cacheHierarchy uniqueName="[New Project Excel].[Name]" caption="Name" attribute="1" defaultMemberUniqueName="[New Project Excel].[Name].[All]" allUniqueName="[New Project Excel].[Name].[All]" dimensionUniqueName="[New Project Excel]" displayFolder="" count="0" memberValueDatatype="130" unbalanced="0"/>
    <cacheHierarchy uniqueName="[New Project Excel].[Extension]" caption="Extension" attribute="1" defaultMemberUniqueName="[New Project Excel].[Extension].[All]" allUniqueName="[New Project Excel].[Extension].[All]" dimensionUniqueName="[New Project Excel]" displayFolder="" count="0" memberValueDatatype="130" unbalanced="0"/>
    <cacheHierarchy uniqueName="[New Project Excel].[Date accessed]" caption="Date accessed" attribute="1" time="1" defaultMemberUniqueName="[New Project Excel].[Date accessed].[All]" allUniqueName="[New Project Excel].[Date accessed].[All]" dimensionUniqueName="[New Project Excel]" displayFolder="" count="0" memberValueDatatype="7" unbalanced="0"/>
    <cacheHierarchy uniqueName="[New Project Excel].[Date modified]" caption="Date modified" attribute="1" time="1" defaultMemberUniqueName="[New Project Excel].[Date modified].[All]" allUniqueName="[New Project Excel].[Date modified].[All]" dimensionUniqueName="[New Project Excel]" displayFolder="" count="0" memberValueDatatype="7" unbalanced="0"/>
    <cacheHierarchy uniqueName="[New Project Excel].[Date created]" caption="Date created" attribute="1" time="1" defaultMemberUniqueName="[New Project Excel].[Date created].[All]" allUniqueName="[New Project Excel].[Date created].[All]" dimensionUniqueName="[New Project Excel]" displayFolder="" count="0" memberValueDatatype="7" unbalanced="0"/>
    <cacheHierarchy uniqueName="[New Project Excel].[Folder Path]" caption="Folder Path" attribute="1" defaultMemberUniqueName="[New Project Excel].[Folder Path].[All]" allUniqueName="[New Project Excel].[Folder Path].[All]" dimensionUniqueName="[New Projec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fff_delivery_order]" caption="Dfff_delivery_order" attribute="1" defaultMemberUniqueName="[Orders].[Dfff_delivery_order].[All]" allUniqueName="[Orders].[Df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Project Excel]" caption="__XL_Count New Project Excel" measure="1" displayFolder="" measureGroup="New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fff_delivery_order]" caption="Sum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fff_delivery_order]" caption="Average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measure="1" name="Measures" uniqueName="[Measures]" caption="Measures"/>
    <dimension name="New Project Excel" uniqueName="[New Project Excel]" caption="New Project Excel"/>
    <dimension name="Orders" uniqueName="[Orders]" caption="Orders"/>
    <dimension name="products" uniqueName="[products]" caption="products"/>
  </dimensions>
  <measureGroups count="4">
    <measureGroup name="Customers" caption="Customers"/>
    <measureGroup name="New Project Excel" caption="New Project Excel"/>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KANDIEL" refreshedDate="46055.003751851851" backgroundQuery="1" createdVersion="8" refreshedVersion="8" minRefreshableVersion="3" recordCount="0" supportSubquery="1" supportAdvancedDrill="1" xr:uid="{35AE7C6C-6520-46FE-9FE3-8662783BE382}">
  <cacheSource type="external" connectionId="9"/>
  <cacheFields count="2">
    <cacheField name="[Orders].[Location].[Location]" caption="Location" numFmtId="0" hierarchy="22" level="1">
      <sharedItems count="10">
        <s v="Alwar"/>
        <s v="Bareilly"/>
        <s v="Bhilai"/>
        <s v="Bulandshahr"/>
        <s v="Darbhanga"/>
        <s v="Ghaziabad"/>
        <s v="Hazaribagh"/>
        <s v="Khammam"/>
        <s v="Lucknow"/>
        <s v="Muzaffarnagar"/>
      </sharedItems>
    </cacheField>
    <cacheField name="[Measures].[Count of Order_ID]" caption="Count of Order_ID" numFmtId="0" hierarchy="47"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Project Excel].[Content]" caption="Content" attribute="1" defaultMemberUniqueName="[New Project Excel].[Content].[All]" allUniqueName="[New Project Excel].[Content].[All]" dimensionUniqueName="[New Project Excel]" displayFolder="" count="0" memberValueDatatype="130" unbalanced="0"/>
    <cacheHierarchy uniqueName="[New Project Excel].[Name]" caption="Name" attribute="1" defaultMemberUniqueName="[New Project Excel].[Name].[All]" allUniqueName="[New Project Excel].[Name].[All]" dimensionUniqueName="[New Project Excel]" displayFolder="" count="0" memberValueDatatype="130" unbalanced="0"/>
    <cacheHierarchy uniqueName="[New Project Excel].[Extension]" caption="Extension" attribute="1" defaultMemberUniqueName="[New Project Excel].[Extension].[All]" allUniqueName="[New Project Excel].[Extension].[All]" dimensionUniqueName="[New Project Excel]" displayFolder="" count="0" memberValueDatatype="130" unbalanced="0"/>
    <cacheHierarchy uniqueName="[New Project Excel].[Date accessed]" caption="Date accessed" attribute="1" time="1" defaultMemberUniqueName="[New Project Excel].[Date accessed].[All]" allUniqueName="[New Project Excel].[Date accessed].[All]" dimensionUniqueName="[New Project Excel]" displayFolder="" count="0" memberValueDatatype="7" unbalanced="0"/>
    <cacheHierarchy uniqueName="[New Project Excel].[Date modified]" caption="Date modified" attribute="1" time="1" defaultMemberUniqueName="[New Project Excel].[Date modified].[All]" allUniqueName="[New Project Excel].[Date modified].[All]" dimensionUniqueName="[New Project Excel]" displayFolder="" count="0" memberValueDatatype="7" unbalanced="0"/>
    <cacheHierarchy uniqueName="[New Project Excel].[Date created]" caption="Date created" attribute="1" time="1" defaultMemberUniqueName="[New Project Excel].[Date created].[All]" allUniqueName="[New Project Excel].[Date created].[All]" dimensionUniqueName="[New Project Excel]" displayFolder="" count="0" memberValueDatatype="7" unbalanced="0"/>
    <cacheHierarchy uniqueName="[New Project Excel].[Folder Path]" caption="Folder Path" attribute="1" defaultMemberUniqueName="[New Project Excel].[Folder Path].[All]" allUniqueName="[New Project Excel].[Folder Path].[All]" dimensionUniqueName="[New Projec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fff_delivery_order]" caption="Dfff_delivery_order" attribute="1" defaultMemberUniqueName="[Orders].[Dfff_delivery_order].[All]" allUniqueName="[Orders].[Df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Project Excel]" caption="__XL_Count New Project Excel" measure="1" displayFolder="" measureGroup="New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fff_delivery_order]" caption="Sum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fff_delivery_order]" caption="Average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measure="1" name="Measures" uniqueName="[Measures]" caption="Measures"/>
    <dimension name="New Project Excel" uniqueName="[New Project Excel]" caption="New Project Excel"/>
    <dimension name="Orders" uniqueName="[Orders]" caption="Orders"/>
    <dimension name="products" uniqueName="[products]" caption="products"/>
  </dimensions>
  <measureGroups count="4">
    <measureGroup name="Customers" caption="Customers"/>
    <measureGroup name="New Project Excel" caption="New Project Excel"/>
    <measureGroup name="Orders" caption="Orders"/>
    <measureGroup name="products" caption="products"/>
  </measureGroups>
  <maps count="6">
    <map measureGroup="0" dimension="0"/>
    <map measureGroup="1" dimension="2"/>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KANDIEL" refreshedDate="46054.925212499998" backgroundQuery="1" createdVersion="3" refreshedVersion="8" minRefreshableVersion="3" recordCount="0" supportSubquery="1" supportAdvancedDrill="1" xr:uid="{FF89422D-A711-4A83-A3CC-687829DC4689}">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Project Excel].[Content]" caption="Content" attribute="1" defaultMemberUniqueName="[New Project Excel].[Content].[All]" allUniqueName="[New Project Excel].[Content].[All]" dimensionUniqueName="[New Project Excel]" displayFolder="" count="0" memberValueDatatype="130" unbalanced="0"/>
    <cacheHierarchy uniqueName="[New Project Excel].[Name]" caption="Name" attribute="1" defaultMemberUniqueName="[New Project Excel].[Name].[All]" allUniqueName="[New Project Excel].[Name].[All]" dimensionUniqueName="[New Project Excel]" displayFolder="" count="0" memberValueDatatype="130" unbalanced="0"/>
    <cacheHierarchy uniqueName="[New Project Excel].[Extension]" caption="Extension" attribute="1" defaultMemberUniqueName="[New Project Excel].[Extension].[All]" allUniqueName="[New Project Excel].[Extension].[All]" dimensionUniqueName="[New Project Excel]" displayFolder="" count="0" memberValueDatatype="130" unbalanced="0"/>
    <cacheHierarchy uniqueName="[New Project Excel].[Date accessed]" caption="Date accessed" attribute="1" time="1" defaultMemberUniqueName="[New Project Excel].[Date accessed].[All]" allUniqueName="[New Project Excel].[Date accessed].[All]" dimensionUniqueName="[New Project Excel]" displayFolder="" count="0" memberValueDatatype="7" unbalanced="0"/>
    <cacheHierarchy uniqueName="[New Project Excel].[Date modified]" caption="Date modified" attribute="1" time="1" defaultMemberUniqueName="[New Project Excel].[Date modified].[All]" allUniqueName="[New Project Excel].[Date modified].[All]" dimensionUniqueName="[New Project Excel]" displayFolder="" count="0" memberValueDatatype="7" unbalanced="0"/>
    <cacheHierarchy uniqueName="[New Project Excel].[Date created]" caption="Date created" attribute="1" time="1" defaultMemberUniqueName="[New Project Excel].[Date created].[All]" allUniqueName="[New Project Excel].[Date created].[All]" dimensionUniqueName="[New Project Excel]" displayFolder="" count="0" memberValueDatatype="7" unbalanced="0"/>
    <cacheHierarchy uniqueName="[New Project Excel].[Folder Path]" caption="Folder Path" attribute="1" defaultMemberUniqueName="[New Project Excel].[Folder Path].[All]" allUniqueName="[New Project Excel].[Folder Path].[All]" dimensionUniqueName="[New Projec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fff_delivery_order]" caption="Dfff_delivery_order" attribute="1" defaultMemberUniqueName="[Orders].[Dfff_delivery_order].[All]" allUniqueName="[Orders].[Df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Project Excel]" caption="__XL_Count New Project Excel" measure="1" displayFolder="" measureGroup="New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fff_delivery_order]" caption="Sum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fff_delivery_order]" caption="Average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26399614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KANDIEL" refreshedDate="46054.92521400463" backgroundQuery="1" createdVersion="3" refreshedVersion="8" minRefreshableVersion="3" recordCount="0" supportSubquery="1" supportAdvancedDrill="1" xr:uid="{09C9C5E8-A9DC-4112-8B34-954B8E954551}">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New Project Excel].[Content]" caption="Content" attribute="1" defaultMemberUniqueName="[New Project Excel].[Content].[All]" allUniqueName="[New Project Excel].[Content].[All]" dimensionUniqueName="[New Project Excel]" displayFolder="" count="0" memberValueDatatype="130" unbalanced="0"/>
    <cacheHierarchy uniqueName="[New Project Excel].[Name]" caption="Name" attribute="1" defaultMemberUniqueName="[New Project Excel].[Name].[All]" allUniqueName="[New Project Excel].[Name].[All]" dimensionUniqueName="[New Project Excel]" displayFolder="" count="0" memberValueDatatype="130" unbalanced="0"/>
    <cacheHierarchy uniqueName="[New Project Excel].[Extension]" caption="Extension" attribute="1" defaultMemberUniqueName="[New Project Excel].[Extension].[All]" allUniqueName="[New Project Excel].[Extension].[All]" dimensionUniqueName="[New Project Excel]" displayFolder="" count="0" memberValueDatatype="130" unbalanced="0"/>
    <cacheHierarchy uniqueName="[New Project Excel].[Date accessed]" caption="Date accessed" attribute="1" time="1" defaultMemberUniqueName="[New Project Excel].[Date accessed].[All]" allUniqueName="[New Project Excel].[Date accessed].[All]" dimensionUniqueName="[New Project Excel]" displayFolder="" count="0" memberValueDatatype="7" unbalanced="0"/>
    <cacheHierarchy uniqueName="[New Project Excel].[Date modified]" caption="Date modified" attribute="1" time="1" defaultMemberUniqueName="[New Project Excel].[Date modified].[All]" allUniqueName="[New Project Excel].[Date modified].[All]" dimensionUniqueName="[New Project Excel]" displayFolder="" count="0" memberValueDatatype="7" unbalanced="0"/>
    <cacheHierarchy uniqueName="[New Project Excel].[Date created]" caption="Date created" attribute="1" time="1" defaultMemberUniqueName="[New Project Excel].[Date created].[All]" allUniqueName="[New Project Excel].[Date created].[All]" dimensionUniqueName="[New Project Excel]" displayFolder="" count="0" memberValueDatatype="7" unbalanced="0"/>
    <cacheHierarchy uniqueName="[New Project Excel].[Folder Path]" caption="Folder Path" attribute="1" defaultMemberUniqueName="[New Project Excel].[Folder Path].[All]" allUniqueName="[New Project Excel].[Folder Path].[All]" dimensionUniqueName="[New Project Exce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fff_delivery_order]" caption="Dfff_delivery_order" attribute="1" defaultMemberUniqueName="[Orders].[Dfff_delivery_order].[All]" allUniqueName="[Orders].[Df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caption="Day Name Of Order" attribute="1" defaultMemberUniqueName="[Orders].[Day Name Of Order].[All]" allUniqueName="[Orders].[Day Name Of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Project Excel]" caption="__XL_Count New Project Excel" measure="1" displayFolder="" measureGroup="New Project Exce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fff_delivery_order]" caption="Sum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fff_delivery_order]" caption="Average of Df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33594257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31FBE5-BA04-4963-9B76-DA34BD87FD01}" name="PivotTable5" cacheId="156" applyNumberFormats="0" applyBorderFormats="0" applyFontFormats="0" applyPatternFormats="0" applyAlignmentFormats="0" applyWidthHeightFormats="1" dataCaption="Values" tag="31f9a77f-fe85-4e31-8178-ef41fe51d683" updatedVersion="8" minRefreshableVersion="5" useAutoFormatting="1" itemPrintTitles="1" createdVersion="8" indent="0" outline="1" outlineData="1" multipleFieldFilters="0" chartFormat="9">
  <location ref="E5:F11"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Revenue" fld="0" baseField="0" baseItem="0" numFmtId="165"/>
  </dataFields>
  <formats count="1">
    <format dxfId="4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64775E-374D-405D-9EB2-59F0FBCA1978}" name="PivotTable9" cacheId="138" applyNumberFormats="0" applyBorderFormats="0" applyFontFormats="0" applyPatternFormats="0" applyAlignmentFormats="0" applyWidthHeightFormats="1" dataCaption="Values" tag="02da1d84-a6d8-4aff-a654-57465f7b8ae3" updatedVersion="8" minRefreshableVersion="5" useAutoFormatting="1" itemPrintTitles="1" createdVersion="8" indent="0" outline="1" outlineData="1" multipleFieldFilters="0" chartFormat="8">
  <location ref="H15:I23"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numFmtId="165"/>
  </dataFields>
  <formats count="1">
    <format dxfId="47">
      <pivotArea outline="0" collapsedLevelsAreSubtotals="1" fieldPosition="0"/>
    </format>
  </formats>
  <chartFormats count="1">
    <chartFormat chart="4"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377AD0-A3FE-4306-9FBC-2654A2767944}" name="PivotTable4" cacheId="153" applyNumberFormats="0" applyBorderFormats="0" applyFontFormats="0" applyPatternFormats="0" applyAlignmentFormats="0" applyWidthHeightFormats="1" dataCaption="Values" tag="e67b1d6e-156a-4225-8060-d065d6907707" updatedVersion="8" minRefreshableVersion="5" useAutoFormatting="1" itemPrintTitles="1" createdVersion="8" indent="0" outline="1" outlineData="1" multipleFieldFilters="0" chartFormat="10">
  <location ref="B5:C18"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5"/>
  </dataFields>
  <formats count="2">
    <format dxfId="49">
      <pivotArea outline="0" collapsedLevelsAreSubtotals="1" fieldPosition="0"/>
    </format>
    <format dxfId="48">
      <pivotArea dataOnly="0" labelOnly="1" outline="0" axis="axisValues" fieldPosition="0"/>
    </format>
  </formats>
  <chartFormats count="1">
    <chartFormat chart="4"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C515D8-A5C5-41C1-9562-4BEB4123C548}" name="PivotTable3" cacheId="150" applyNumberFormats="0" applyBorderFormats="0" applyFontFormats="0" applyPatternFormats="0" applyAlignmentFormats="0" applyWidthHeightFormats="1" dataCaption="Values" tag="a1d8ca83-b446-4014-8feb-9b733d05db70" updatedVersion="8" minRefreshableVersion="5" useAutoFormatting="1" itemPrintTitles="1" createdVersion="8" indent="0" outline="1" outlineData="1" multipleFieldFilters="0">
  <location ref="C2:C3" firstHeaderRow="1" firstDataRow="1" firstDataCol="0"/>
  <pivotFields count="1">
    <pivotField dataField="1" subtotalTop="0" showAll="0" defaultSubtotal="0"/>
  </pivotFields>
  <rowItems count="1">
    <i/>
  </rowItems>
  <colItems count="1">
    <i/>
  </colItems>
  <dataFields count="1">
    <dataField name="Average of Dfff_delivery_order"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fff_delivery_order"/>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1FD7B0-77A9-4791-932D-EF67DA859A2B}" name="PivotTable8" cacheId="165" applyNumberFormats="0" applyBorderFormats="0" applyFontFormats="0" applyPatternFormats="0" applyAlignmentFormats="0" applyWidthHeightFormats="1" dataCaption="Values" tag="9988a733-7d39-4b8e-a909-d2d81e640ed7" updatedVersion="8" minRefreshableVersion="5" useAutoFormatting="1" itemPrintTitles="1" createdVersion="8" indent="0" outline="1" outlineData="1" multipleFieldFilters="0" chartFormat="7">
  <location ref="E13:F24" firstHeaderRow="1" firstDataRow="1" firstDataCol="1"/>
  <pivotFields count="2">
    <pivotField axis="axisRow" allDrilled="1" subtotalTop="0" showAll="0" measureFilter="1" defaultSubtotal="0" defaultAttributeDrillState="1">
      <items count="10">
        <item x="1"/>
        <item x="0"/>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5"/>
  </dataFields>
  <chartFormats count="1">
    <chartFormat chart="4"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B7BD4D-E6A9-4B6E-A0BE-7862EEB9B8BA}" name="PivotTable2" cacheId="147" applyNumberFormats="0" applyBorderFormats="0" applyFontFormats="0" applyPatternFormats="0" applyAlignmentFormats="0" applyWidthHeightFormats="1" dataCaption="Values" tag="4b174d97-4376-441e-b2ef-dd03e4656eb3" updatedVersion="8" minRefreshableVersion="5" useAutoFormatting="1" itemPrintTitles="1" createdVersion="8" indent="0" outline="1" outlineData="1" multipleFieldFilters="0">
  <location ref="B2:B3" firstHeaderRow="1" firstDataRow="1" firstDataCol="0"/>
  <pivotFields count="1">
    <pivotField dataField="1" subtotalTop="0" showAll="0" defaultSubtotal="0"/>
  </pivotFields>
  <rowItems count="1">
    <i/>
  </rowItems>
  <colItems count="1">
    <i/>
  </colItems>
  <dataFields count="1">
    <dataField name="Sum of Revenue" fld="0" baseField="0" baseItem="0" numFmtId="171"/>
  </dataFields>
  <formats count="3">
    <format dxfId="51">
      <pivotArea type="all" dataOnly="0" outline="0" fieldPosition="0"/>
    </format>
    <format dxfId="50">
      <pivotArea dataOnly="0" labelOnly="1" outline="0" axis="axisValues" fieldPosition="0"/>
    </format>
    <format dxfId="45">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7337AC-17E3-4BC9-BAAA-B6130A02B027}" name="PivotTable7" cacheId="162" applyNumberFormats="0" applyBorderFormats="0" applyFontFormats="0" applyPatternFormats="0" applyAlignmentFormats="0" applyWidthHeightFormats="1" dataCaption="Values" tag="22b0a23e-87da-4789-89c8-d81b3cf168b9" updatedVersion="8" minRefreshableVersion="5" useAutoFormatting="1" itemPrintTitles="1" createdVersion="8" indent="0" outline="1" outlineData="1" multipleFieldFilters="0" chartFormat="8">
  <location ref="H5:I13"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formats count="1">
    <format dxfId="5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9507D8-89B8-4EA4-A484-2D6775F6C858}" name="PivotTable6" cacheId="159" applyNumberFormats="0" applyBorderFormats="0" applyFontFormats="0" applyPatternFormats="0" applyAlignmentFormats="0" applyWidthHeightFormats="1" dataCaption="Values" tag="8b853515-a4fd-4815-b56e-deeb4e2edac0" updatedVersion="8" minRefreshableVersion="5" useAutoFormatting="1"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numFmtId="175"/>
  </dataFields>
  <formats count="1">
    <format dxfId="33">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74EC57-4FDD-4CA1-BE0D-40E0CBB47CB5}" name="PivotTable14" cacheId="144" applyNumberFormats="0" applyBorderFormats="0" applyFontFormats="0" applyPatternFormats="0" applyAlignmentFormats="0" applyWidthHeightFormats="1" dataCaption="Values" tag="67bc1690-eed3-4880-ab66-6d79e78a371d" updatedVersion="8" minRefreshableVersion="5" useAutoFormatting="1" itemPrintTitles="1" createdVersion="8" indent="0" outline="1" outlineData="1" multipleFieldFilters="0">
  <location ref="J3:J4"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numFmtId="173"/>
  </dataFields>
  <formats count="1">
    <format dxfId="34">
      <pivotArea outline="0" collapsedLevelsAreSubtotals="1"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96A0B9-0D8D-4DCF-9E62-BBB71BFCBF99}" name="PivotTable10" cacheId="141" applyNumberFormats="0" applyBorderFormats="0" applyFontFormats="0" applyPatternFormats="0" applyAlignmentFormats="0" applyWidthHeightFormats="1" dataCaption="Values" tag="278b558b-8d82-4e7b-b3be-353b6453fea4" updatedVersion="8" minRefreshableVersion="5" useAutoFormatting="1" itemPrintTitles="1" createdVersion="8" indent="0" outline="1" outlineData="1" multipleFieldFilters="0" chartFormat="7">
  <location ref="C25:D36"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Revenue" fld="0" baseField="0" baseItem="0" numFmtId="165"/>
  </dataFields>
  <formats count="1">
    <format dxfId="5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D44BAA8-4DC0-4A8D-96FD-AFA65349B9D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New Project Exce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573396E-86B0-43D5-A3BA-449AF286C79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DF29CEE-E5D0-4DC1-A42F-39539B3B25DF}"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fff_delivery_order" tableColumnId="13"/>
      <queryTableField id="14" name="Hour(delivery)" tableColumnId="14"/>
      <queryTableField id="15" name="products.Price (INR)" tableColumnId="15"/>
      <queryTableField id="16" name="Revenue" tableColumnId="16"/>
      <queryTableField id="17" name="Day Name Of Order"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62D403A1-4EBB-4280-84D8-8C4B154B02D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5F2C477-25F2-4D91-9C93-C75B8248B4B8}" sourceName="[Orders].[Occasion]">
  <pivotTables>
    <pivotTable tabId="6" name="PivotTable2"/>
    <pivotTable tabId="6" name="PivotTable10"/>
    <pivotTable tabId="6" name="PivotTable14"/>
    <pivotTable tabId="6" name="PivotTable3"/>
    <pivotTable tabId="6" name="PivotTable4"/>
    <pivotTable tabId="6" name="PivotTable5"/>
    <pivotTable tabId="6" name="PivotTable6"/>
    <pivotTable tabId="6" name="PivotTable7"/>
    <pivotTable tabId="6" name="PivotTable8"/>
    <pivotTable tabId="6" name="PivotTable9"/>
  </pivotTables>
  <data>
    <olap pivotCacheId="26399614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25D7171-1E1A-4BE8-B393-97765CB6F438}" cache="Slicer_Occasion" caption="Occasion" level="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A2067E-9B02-4517-8C97-98207EF4ACFD}" name="New_Project_Excel" displayName="New_Project_Excel" ref="A1:F5" tableType="queryTable" totalsRowShown="0">
  <autoFilter ref="A1:F5" xr:uid="{14A2067E-9B02-4517-8C97-98207EF4ACFD}"/>
  <tableColumns count="6">
    <tableColumn id="1" xr3:uid="{1E8D7933-4244-4966-AC5C-FDFAA1FAEE10}" uniqueName="1" name="Name" queryTableFieldId="1" dataDxfId="44"/>
    <tableColumn id="2" xr3:uid="{7231B6CA-A99D-44C6-90B9-57A777A9CF61}" uniqueName="2" name="Extension" queryTableFieldId="2" dataDxfId="43"/>
    <tableColumn id="3" xr3:uid="{631F5A6D-BA00-42A7-86D7-2AA33E34952C}" uniqueName="3" name="Date accessed" queryTableFieldId="3" dataDxfId="42"/>
    <tableColumn id="4" xr3:uid="{77BC5BD4-1C67-408A-935C-E7314ECE1FF0}" uniqueName="4" name="Date modified" queryTableFieldId="4" dataDxfId="41"/>
    <tableColumn id="5" xr3:uid="{8F773CD2-B0F0-4166-B117-43CCA7F7CF3E}" uniqueName="5" name="Date created" queryTableFieldId="5" dataDxfId="40"/>
    <tableColumn id="6" xr3:uid="{18840536-38A3-4545-9203-EA8B3A77F3DD}" uniqueName="6" name="Folder Path" queryTableFieldId="6" dataDxfId="3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C2A4AC-BF50-4FC4-A559-35F505289686}" name="Customers" displayName="Customers" ref="A1:G101" tableType="queryTable" totalsRowShown="0">
  <autoFilter ref="A1:G101" xr:uid="{45C2A4AC-BF50-4FC4-A559-35F505289686}"/>
  <tableColumns count="7">
    <tableColumn id="1" xr3:uid="{70B14E45-79EF-42BE-9220-B6E0F874A5DB}" uniqueName="1" name="Customer_ID" queryTableFieldId="1" dataDxfId="67"/>
    <tableColumn id="2" xr3:uid="{53CC7B64-125B-4FF0-82B8-973DF02377DE}" uniqueName="2" name="Name" queryTableFieldId="2" dataDxfId="66"/>
    <tableColumn id="3" xr3:uid="{14D85BE2-4CAE-48B4-898F-313807A76C37}" uniqueName="3" name="City" queryTableFieldId="3" dataDxfId="65"/>
    <tableColumn id="4" xr3:uid="{09A13024-3D61-4C8A-B2FC-198C6669FF38}" uniqueName="4" name="Contact_Number" queryTableFieldId="4" dataDxfId="64"/>
    <tableColumn id="5" xr3:uid="{CEA2D8B8-DD9F-4DF8-8D50-AC29A93D39F9}" uniqueName="5" name="Email" queryTableFieldId="5" dataDxfId="63"/>
    <tableColumn id="6" xr3:uid="{336A5C5D-519D-4BCD-A7C3-1F948F8EBE39}" uniqueName="6" name="Gender" queryTableFieldId="6" dataDxfId="62"/>
    <tableColumn id="7" xr3:uid="{B61CEBF5-FAAF-4D0D-A24B-6CBFC863AA53}" uniqueName="7" name="Address" queryTableFieldId="7" dataDxfId="6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C5924B-D936-4B09-B8E3-786434CE203C}" name="Orders" displayName="Orders" ref="A1:Q1001" tableType="queryTable" totalsRowShown="0">
  <autoFilter ref="A1:Q1001" xr:uid="{A5C5924B-D936-4B09-B8E3-786434CE203C}"/>
  <tableColumns count="17">
    <tableColumn id="1" xr3:uid="{AF0B2B44-C413-4D41-A9FB-4A97EFFE5FF2}" uniqueName="1" name="Order_ID" queryTableFieldId="1"/>
    <tableColumn id="2" xr3:uid="{E8B2DBA7-DE39-4562-8ECE-DE572752C688}" uniqueName="2" name="Customer_ID" queryTableFieldId="2" dataDxfId="60"/>
    <tableColumn id="3" xr3:uid="{745E16CE-0FF8-4FF5-B9DD-95B4F3ED6F4A}" uniqueName="3" name="Product_ID" queryTableFieldId="3"/>
    <tableColumn id="4" xr3:uid="{C71522A5-3D7B-4777-AE83-BA890EFC148F}" uniqueName="4" name="Quantity" queryTableFieldId="4"/>
    <tableColumn id="5" xr3:uid="{745A445D-72BC-4780-A62A-0414F77C2852}" uniqueName="5" name="Order_Date" queryTableFieldId="5" dataDxfId="38"/>
    <tableColumn id="6" xr3:uid="{3D5CFAA8-EA78-4D24-9F65-A446F5740FC3}" uniqueName="6" name="Order_Time" queryTableFieldId="6" dataDxfId="37"/>
    <tableColumn id="7" xr3:uid="{1E1EBC2C-2557-4396-9C57-40B273EB1E5E}" uniqueName="7" name="Delivery_Date" queryTableFieldId="7" dataDxfId="36"/>
    <tableColumn id="8" xr3:uid="{22C945B2-1D32-47D1-970A-B8B21D99AB1E}" uniqueName="8" name="Delivery_Time" queryTableFieldId="8" dataDxfId="35"/>
    <tableColumn id="9" xr3:uid="{1A2F7561-0DD3-423A-8B4A-906F98D3A465}" uniqueName="9" name="Location" queryTableFieldId="9" dataDxfId="59"/>
    <tableColumn id="10" xr3:uid="{3A2395B8-5C58-4622-9F3D-375CB6DDD543}" uniqueName="10" name="Occasion" queryTableFieldId="10" dataDxfId="58"/>
    <tableColumn id="11" xr3:uid="{678C051B-B1B0-47A5-A4A2-D0EEB52EC5B1}" uniqueName="11" name="Month Name" queryTableFieldId="11" dataDxfId="57"/>
    <tableColumn id="12" xr3:uid="{E2181DB9-8B2E-4945-870B-7823729EE4E4}" uniqueName="12" name="Hour(Order)" queryTableFieldId="12"/>
    <tableColumn id="13" xr3:uid="{FF50298C-DBDF-4797-9A78-5BA01D3C5FAF}" uniqueName="13" name="Dfff_delivery_order" queryTableFieldId="13"/>
    <tableColumn id="14" xr3:uid="{1E2D3D2A-72E9-4313-A451-596FA27A853D}" uniqueName="14" name="Hour(delivery)" queryTableFieldId="14"/>
    <tableColumn id="15" xr3:uid="{36CDE908-003B-4A21-A411-B85BE2DE7EA5}" uniqueName="15" name="products.Price (INR)" queryTableFieldId="15"/>
    <tableColumn id="16" xr3:uid="{ECA969B4-7293-4EC2-A9A9-364326DD93C9}" uniqueName="16" name="Revenue" queryTableFieldId="16"/>
    <tableColumn id="17" xr3:uid="{701F3C43-D8F6-4725-90BB-1F3F4A7DA5CB}" uniqueName="17" name="Day Name Of Order"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984316-D0D5-4A4D-BD87-9FCCE13A4045}" name="products" displayName="products" ref="A1:E71" tableType="queryTable" totalsRowShown="0">
  <autoFilter ref="A1:E71" xr:uid="{81984316-D0D5-4A4D-BD87-9FCCE13A4045}"/>
  <tableColumns count="5">
    <tableColumn id="1" xr3:uid="{9ABE7FDC-E891-4186-96AF-B359261A6F49}" uniqueName="1" name="Product_ID" queryTableFieldId="1"/>
    <tableColumn id="2" xr3:uid="{3CFEA810-F6D8-41CF-B471-540F839696AE}" uniqueName="2" name="Product_Name" queryTableFieldId="2" dataDxfId="56"/>
    <tableColumn id="3" xr3:uid="{D6E8823F-46B0-4B47-BF09-C2A1693E182C}" uniqueName="3" name="Category" queryTableFieldId="3" dataDxfId="55"/>
    <tableColumn id="4" xr3:uid="{607F01CB-FA01-4940-A432-D761BE29CF22}" uniqueName="4" name="Price (INR)" queryTableFieldId="4"/>
    <tableColumn id="5" xr3:uid="{885BEC3E-E1DA-44D4-9C14-B7ADB8DBFFB4}" uniqueName="5" name="Occasion" queryTableFieldId="5" dataDxfId="5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B902E1C-5DAC-4C07-9F5F-845641321DDF}" sourceName="[Orders].[Delivery_Date]">
  <pivotTables>
    <pivotTable tabId="6" name="PivotTable9"/>
    <pivotTable tabId="6" name="PivotTable10"/>
    <pivotTable tabId="6" name="PivotTable14"/>
    <pivotTable tabId="6" name="PivotTable2"/>
    <pivotTable tabId="6" name="PivotTable3"/>
    <pivotTable tabId="6" name="PivotTable4"/>
    <pivotTable tabId="6" name="PivotTable5"/>
    <pivotTable tabId="6" name="PivotTable6"/>
    <pivotTable tabId="6" name="PivotTable7"/>
    <pivotTable tabId="6" name="PivotTable8"/>
  </pivotTables>
  <state minimalRefreshVersion="6" lastRefreshVersion="6" pivotCacheId="335942570"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1EC575F-709E-4A86-A3AC-9E53BE63B5E8}" sourceName="[Orders].[Order_Date]">
  <pivotTables>
    <pivotTable tabId="6" name="PivotTable9"/>
    <pivotTable tabId="6" name="PivotTable10"/>
    <pivotTable tabId="6" name="PivotTable14"/>
    <pivotTable tabId="6" name="PivotTable2"/>
    <pivotTable tabId="6" name="PivotTable3"/>
    <pivotTable tabId="6" name="PivotTable4"/>
    <pivotTable tabId="6" name="PivotTable5"/>
    <pivotTable tabId="6" name="PivotTable6"/>
    <pivotTable tabId="6" name="PivotTable7"/>
    <pivotTable tabId="6" name="PivotTable8"/>
  </pivotTables>
  <state minimalRefreshVersion="6" lastRefreshVersion="6" pivotCacheId="335942570"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055FC389-83B5-4A0D-B382-3A4AADD31FC9}" cache="Timeline_Delivery_Date" caption="Delivery Date" showHorizontalScrollbar="0" level="2" selectionLevel="2" scrollPosition="2024-05-19T00:00:00"/>
  <timeline name="Order_Date" xr10:uid="{8B73BC55-86A0-4ACB-AFA5-6E5705BE48DF}" cache="Timeline_Order_Date" caption="Order Date" showHorizontalScrollbar="0" level="2" selectionLevel="2" scrollPosition="2023-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8FAA8-2F27-436C-B38E-EA07FFF0AEE2}">
  <dimension ref="A1:F5"/>
  <sheetViews>
    <sheetView workbookViewId="0">
      <selection sqref="A1:F4"/>
    </sheetView>
  </sheetViews>
  <sheetFormatPr defaultRowHeight="14.5" x14ac:dyDescent="0.35"/>
  <cols>
    <col min="1" max="1" width="14.90625" bestFit="1" customWidth="1"/>
    <col min="2" max="2" width="11.26953125" bestFit="1" customWidth="1"/>
    <col min="3" max="3" width="15.36328125" bestFit="1" customWidth="1"/>
    <col min="4" max="4" width="15.08984375" bestFit="1" customWidth="1"/>
    <col min="5" max="5" width="14.08984375" bestFit="1" customWidth="1"/>
    <col min="6" max="6" width="54.453125" bestFit="1" customWidth="1"/>
  </cols>
  <sheetData>
    <row r="1" spans="1:6" x14ac:dyDescent="0.35">
      <c r="A1" t="s">
        <v>0</v>
      </c>
      <c r="B1" t="s">
        <v>1</v>
      </c>
      <c r="C1" t="s">
        <v>2</v>
      </c>
      <c r="D1" t="s">
        <v>3</v>
      </c>
      <c r="E1" t="s">
        <v>4</v>
      </c>
      <c r="F1" t="s">
        <v>5</v>
      </c>
    </row>
    <row r="2" spans="1:6" x14ac:dyDescent="0.35">
      <c r="A2" s="7" t="s">
        <v>6</v>
      </c>
      <c r="B2" s="7" t="s">
        <v>7</v>
      </c>
      <c r="C2" s="1">
        <v>46054.91776280864</v>
      </c>
      <c r="D2" s="1">
        <v>46054.077417669752</v>
      </c>
      <c r="E2" s="1">
        <v>46054.077397337962</v>
      </c>
      <c r="F2" s="7" t="s">
        <v>8</v>
      </c>
    </row>
    <row r="3" spans="1:6" x14ac:dyDescent="0.35">
      <c r="A3" s="7" t="s">
        <v>948</v>
      </c>
      <c r="B3" s="7" t="s">
        <v>949</v>
      </c>
      <c r="C3" s="1">
        <v>46054.92393715278</v>
      </c>
      <c r="D3" s="1">
        <v>46054.92393715278</v>
      </c>
      <c r="E3" s="1">
        <v>46054.160560686731</v>
      </c>
      <c r="F3" s="7" t="s">
        <v>8</v>
      </c>
    </row>
    <row r="4" spans="1:6" x14ac:dyDescent="0.35">
      <c r="A4" s="7" t="s">
        <v>9</v>
      </c>
      <c r="B4" s="7" t="s">
        <v>7</v>
      </c>
      <c r="C4" s="1">
        <v>46054.917782021606</v>
      </c>
      <c r="D4" s="1">
        <v>46054.082481327161</v>
      </c>
      <c r="E4" s="1">
        <v>46054.077336381175</v>
      </c>
      <c r="F4" s="7" t="s">
        <v>8</v>
      </c>
    </row>
    <row r="5" spans="1:6" x14ac:dyDescent="0.35">
      <c r="A5" s="7" t="s">
        <v>10</v>
      </c>
      <c r="B5" s="7" t="s">
        <v>7</v>
      </c>
      <c r="C5" s="1">
        <v>46054.917778317904</v>
      </c>
      <c r="D5" s="1">
        <v>46054.080984259257</v>
      </c>
      <c r="E5" s="1">
        <v>46054.077191087963</v>
      </c>
      <c r="F5" s="7"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8439-4512-42E6-9D22-5FBA6BBB01D6}">
  <dimension ref="A1:G101"/>
  <sheetViews>
    <sheetView workbookViewId="0">
      <selection sqref="A1:G101"/>
    </sheetView>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9E728-1FFE-4586-BEEE-DF8CB65551EA}">
  <dimension ref="A1:Q1001"/>
  <sheetViews>
    <sheetView topLeftCell="H1" workbookViewId="0">
      <selection sqref="A1:Q1001"/>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13.6328125" bestFit="1" customWidth="1"/>
    <col min="12" max="12" width="13" bestFit="1" customWidth="1"/>
    <col min="13" max="13" width="19" bestFit="1" customWidth="1"/>
    <col min="14" max="14" width="15" bestFit="1" customWidth="1"/>
    <col min="15" max="15" width="20.1796875" bestFit="1" customWidth="1"/>
    <col min="16" max="16" width="10.36328125" bestFit="1" customWidth="1"/>
    <col min="17" max="17" width="18.90625"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935</v>
      </c>
      <c r="Q1" t="s">
        <v>936</v>
      </c>
    </row>
    <row r="2" spans="1:17" x14ac:dyDescent="0.3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937</v>
      </c>
    </row>
    <row r="3" spans="1:17" x14ac:dyDescent="0.3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938</v>
      </c>
    </row>
    <row r="4" spans="1:17" x14ac:dyDescent="0.3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939</v>
      </c>
    </row>
    <row r="5" spans="1:17" x14ac:dyDescent="0.3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937</v>
      </c>
    </row>
    <row r="6" spans="1:17" x14ac:dyDescent="0.3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940</v>
      </c>
    </row>
    <row r="7" spans="1:17" x14ac:dyDescent="0.3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937</v>
      </c>
    </row>
    <row r="8" spans="1:17" x14ac:dyDescent="0.3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937</v>
      </c>
    </row>
    <row r="9" spans="1:17" x14ac:dyDescent="0.3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940</v>
      </c>
    </row>
    <row r="10" spans="1:17" x14ac:dyDescent="0.3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940</v>
      </c>
    </row>
    <row r="11" spans="1:17" x14ac:dyDescent="0.3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937</v>
      </c>
    </row>
    <row r="12" spans="1:17" x14ac:dyDescent="0.3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937</v>
      </c>
    </row>
    <row r="13" spans="1:17" x14ac:dyDescent="0.3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937</v>
      </c>
    </row>
    <row r="14" spans="1:17" x14ac:dyDescent="0.3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941</v>
      </c>
    </row>
    <row r="15" spans="1:17" x14ac:dyDescent="0.3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941</v>
      </c>
    </row>
    <row r="16" spans="1:17" x14ac:dyDescent="0.3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941</v>
      </c>
    </row>
    <row r="17" spans="1:17" x14ac:dyDescent="0.3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942</v>
      </c>
    </row>
    <row r="18" spans="1:17" x14ac:dyDescent="0.3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938</v>
      </c>
    </row>
    <row r="19" spans="1:17" x14ac:dyDescent="0.3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937</v>
      </c>
    </row>
    <row r="20" spans="1:17" x14ac:dyDescent="0.3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937</v>
      </c>
    </row>
    <row r="21" spans="1:17" x14ac:dyDescent="0.3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938</v>
      </c>
    </row>
    <row r="22" spans="1:17" x14ac:dyDescent="0.3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937</v>
      </c>
    </row>
    <row r="23" spans="1:17" x14ac:dyDescent="0.3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940</v>
      </c>
    </row>
    <row r="24" spans="1:17" x14ac:dyDescent="0.3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940</v>
      </c>
    </row>
    <row r="25" spans="1:17" x14ac:dyDescent="0.3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937</v>
      </c>
    </row>
    <row r="26" spans="1:17" x14ac:dyDescent="0.3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940</v>
      </c>
    </row>
    <row r="27" spans="1:17" x14ac:dyDescent="0.3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938</v>
      </c>
    </row>
    <row r="28" spans="1:17" x14ac:dyDescent="0.3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940</v>
      </c>
    </row>
    <row r="29" spans="1:17" x14ac:dyDescent="0.3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942</v>
      </c>
    </row>
    <row r="30" spans="1:17" x14ac:dyDescent="0.3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943</v>
      </c>
    </row>
    <row r="31" spans="1:17" x14ac:dyDescent="0.3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939</v>
      </c>
    </row>
    <row r="32" spans="1:17" x14ac:dyDescent="0.3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942</v>
      </c>
    </row>
    <row r="33" spans="1:17" x14ac:dyDescent="0.3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939</v>
      </c>
    </row>
    <row r="34" spans="1:17" x14ac:dyDescent="0.3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937</v>
      </c>
    </row>
    <row r="35" spans="1:17" x14ac:dyDescent="0.3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937</v>
      </c>
    </row>
    <row r="36" spans="1:17" x14ac:dyDescent="0.3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937</v>
      </c>
    </row>
    <row r="37" spans="1:17" x14ac:dyDescent="0.3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937</v>
      </c>
    </row>
    <row r="38" spans="1:17" x14ac:dyDescent="0.3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941</v>
      </c>
    </row>
    <row r="39" spans="1:17" x14ac:dyDescent="0.3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938</v>
      </c>
    </row>
    <row r="40" spans="1:17" x14ac:dyDescent="0.3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938</v>
      </c>
    </row>
    <row r="41" spans="1:17" x14ac:dyDescent="0.3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939</v>
      </c>
    </row>
    <row r="42" spans="1:17" x14ac:dyDescent="0.3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940</v>
      </c>
    </row>
    <row r="43" spans="1:17" x14ac:dyDescent="0.3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937</v>
      </c>
    </row>
    <row r="44" spans="1:17" x14ac:dyDescent="0.3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941</v>
      </c>
    </row>
    <row r="45" spans="1:17" x14ac:dyDescent="0.3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938</v>
      </c>
    </row>
    <row r="46" spans="1:17" x14ac:dyDescent="0.3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937</v>
      </c>
    </row>
    <row r="47" spans="1:17" x14ac:dyDescent="0.3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940</v>
      </c>
    </row>
    <row r="48" spans="1:17" x14ac:dyDescent="0.3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941</v>
      </c>
    </row>
    <row r="49" spans="1:17" x14ac:dyDescent="0.3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942</v>
      </c>
    </row>
    <row r="50" spans="1:17" x14ac:dyDescent="0.3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942</v>
      </c>
    </row>
    <row r="51" spans="1:17" x14ac:dyDescent="0.3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940</v>
      </c>
    </row>
    <row r="52" spans="1:17" x14ac:dyDescent="0.3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940</v>
      </c>
    </row>
    <row r="53" spans="1:17" x14ac:dyDescent="0.3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938</v>
      </c>
    </row>
    <row r="54" spans="1:17" x14ac:dyDescent="0.3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942</v>
      </c>
    </row>
    <row r="55" spans="1:17" x14ac:dyDescent="0.3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940</v>
      </c>
    </row>
    <row r="56" spans="1:17" x14ac:dyDescent="0.3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937</v>
      </c>
    </row>
    <row r="57" spans="1:17" x14ac:dyDescent="0.3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940</v>
      </c>
    </row>
    <row r="58" spans="1:17" x14ac:dyDescent="0.3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943</v>
      </c>
    </row>
    <row r="59" spans="1:17" x14ac:dyDescent="0.3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941</v>
      </c>
    </row>
    <row r="60" spans="1:17" x14ac:dyDescent="0.3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942</v>
      </c>
    </row>
    <row r="61" spans="1:17" x14ac:dyDescent="0.3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937</v>
      </c>
    </row>
    <row r="62" spans="1:17" x14ac:dyDescent="0.3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937</v>
      </c>
    </row>
    <row r="63" spans="1:17" x14ac:dyDescent="0.3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940</v>
      </c>
    </row>
    <row r="64" spans="1:17" x14ac:dyDescent="0.3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937</v>
      </c>
    </row>
    <row r="65" spans="1:17" x14ac:dyDescent="0.3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938</v>
      </c>
    </row>
    <row r="66" spans="1:17" x14ac:dyDescent="0.3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941</v>
      </c>
    </row>
    <row r="67" spans="1:17" x14ac:dyDescent="0.3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937</v>
      </c>
    </row>
    <row r="68" spans="1:17" x14ac:dyDescent="0.3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937</v>
      </c>
    </row>
    <row r="69" spans="1:17" x14ac:dyDescent="0.3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940</v>
      </c>
    </row>
    <row r="70" spans="1:17" x14ac:dyDescent="0.3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938</v>
      </c>
    </row>
    <row r="71" spans="1:17" x14ac:dyDescent="0.3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939</v>
      </c>
    </row>
    <row r="72" spans="1:17" x14ac:dyDescent="0.3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939</v>
      </c>
    </row>
    <row r="73" spans="1:17" x14ac:dyDescent="0.3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941</v>
      </c>
    </row>
    <row r="74" spans="1:17" x14ac:dyDescent="0.3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940</v>
      </c>
    </row>
    <row r="75" spans="1:17" x14ac:dyDescent="0.3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940</v>
      </c>
    </row>
    <row r="76" spans="1:17" x14ac:dyDescent="0.3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937</v>
      </c>
    </row>
    <row r="77" spans="1:17" x14ac:dyDescent="0.3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939</v>
      </c>
    </row>
    <row r="78" spans="1:17" x14ac:dyDescent="0.3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937</v>
      </c>
    </row>
    <row r="79" spans="1:17" x14ac:dyDescent="0.3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942</v>
      </c>
    </row>
    <row r="80" spans="1:17" x14ac:dyDescent="0.3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937</v>
      </c>
    </row>
    <row r="81" spans="1:17" x14ac:dyDescent="0.3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943</v>
      </c>
    </row>
    <row r="82" spans="1:17" x14ac:dyDescent="0.3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942</v>
      </c>
    </row>
    <row r="83" spans="1:17" x14ac:dyDescent="0.3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938</v>
      </c>
    </row>
    <row r="84" spans="1:17" x14ac:dyDescent="0.3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937</v>
      </c>
    </row>
    <row r="85" spans="1:17" x14ac:dyDescent="0.3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938</v>
      </c>
    </row>
    <row r="86" spans="1:17" x14ac:dyDescent="0.3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939</v>
      </c>
    </row>
    <row r="87" spans="1:17" x14ac:dyDescent="0.3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940</v>
      </c>
    </row>
    <row r="88" spans="1:17" x14ac:dyDescent="0.3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941</v>
      </c>
    </row>
    <row r="89" spans="1:17" x14ac:dyDescent="0.3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939</v>
      </c>
    </row>
    <row r="90" spans="1:17" x14ac:dyDescent="0.3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938</v>
      </c>
    </row>
    <row r="91" spans="1:17" x14ac:dyDescent="0.3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940</v>
      </c>
    </row>
    <row r="92" spans="1:17" x14ac:dyDescent="0.3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940</v>
      </c>
    </row>
    <row r="93" spans="1:17" x14ac:dyDescent="0.3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943</v>
      </c>
    </row>
    <row r="94" spans="1:17" x14ac:dyDescent="0.3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937</v>
      </c>
    </row>
    <row r="95" spans="1:17" x14ac:dyDescent="0.3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937</v>
      </c>
    </row>
    <row r="96" spans="1:17" x14ac:dyDescent="0.3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940</v>
      </c>
    </row>
    <row r="97" spans="1:17" x14ac:dyDescent="0.3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941</v>
      </c>
    </row>
    <row r="98" spans="1:17" x14ac:dyDescent="0.3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937</v>
      </c>
    </row>
    <row r="99" spans="1:17" x14ac:dyDescent="0.3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942</v>
      </c>
    </row>
    <row r="100" spans="1:17" x14ac:dyDescent="0.3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938</v>
      </c>
    </row>
    <row r="101" spans="1:17" x14ac:dyDescent="0.3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941</v>
      </c>
    </row>
    <row r="102" spans="1:17" x14ac:dyDescent="0.3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943</v>
      </c>
    </row>
    <row r="103" spans="1:17" x14ac:dyDescent="0.3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940</v>
      </c>
    </row>
    <row r="104" spans="1:17" x14ac:dyDescent="0.3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939</v>
      </c>
    </row>
    <row r="105" spans="1:17" x14ac:dyDescent="0.3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941</v>
      </c>
    </row>
    <row r="106" spans="1:17" x14ac:dyDescent="0.3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943</v>
      </c>
    </row>
    <row r="107" spans="1:17" x14ac:dyDescent="0.3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941</v>
      </c>
    </row>
    <row r="108" spans="1:17" x14ac:dyDescent="0.3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940</v>
      </c>
    </row>
    <row r="109" spans="1:17" x14ac:dyDescent="0.3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940</v>
      </c>
    </row>
    <row r="110" spans="1:17" x14ac:dyDescent="0.3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940</v>
      </c>
    </row>
    <row r="111" spans="1:17" x14ac:dyDescent="0.3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941</v>
      </c>
    </row>
    <row r="112" spans="1:17" x14ac:dyDescent="0.3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941</v>
      </c>
    </row>
    <row r="113" spans="1:17" x14ac:dyDescent="0.3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937</v>
      </c>
    </row>
    <row r="114" spans="1:17" x14ac:dyDescent="0.3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941</v>
      </c>
    </row>
    <row r="115" spans="1:17" x14ac:dyDescent="0.3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939</v>
      </c>
    </row>
    <row r="116" spans="1:17" x14ac:dyDescent="0.3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938</v>
      </c>
    </row>
    <row r="117" spans="1:17" x14ac:dyDescent="0.3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942</v>
      </c>
    </row>
    <row r="118" spans="1:17" x14ac:dyDescent="0.3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940</v>
      </c>
    </row>
    <row r="119" spans="1:17" x14ac:dyDescent="0.3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940</v>
      </c>
    </row>
    <row r="120" spans="1:17" x14ac:dyDescent="0.3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939</v>
      </c>
    </row>
    <row r="121" spans="1:17" x14ac:dyDescent="0.3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943</v>
      </c>
    </row>
    <row r="122" spans="1:17" x14ac:dyDescent="0.3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943</v>
      </c>
    </row>
    <row r="123" spans="1:17" x14ac:dyDescent="0.3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940</v>
      </c>
    </row>
    <row r="124" spans="1:17" x14ac:dyDescent="0.3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940</v>
      </c>
    </row>
    <row r="125" spans="1:17" x14ac:dyDescent="0.3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940</v>
      </c>
    </row>
    <row r="126" spans="1:17" x14ac:dyDescent="0.3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938</v>
      </c>
    </row>
    <row r="127" spans="1:17" x14ac:dyDescent="0.3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941</v>
      </c>
    </row>
    <row r="128" spans="1:17" x14ac:dyDescent="0.3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938</v>
      </c>
    </row>
    <row r="129" spans="1:17" x14ac:dyDescent="0.3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937</v>
      </c>
    </row>
    <row r="130" spans="1:17" x14ac:dyDescent="0.3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941</v>
      </c>
    </row>
    <row r="131" spans="1:17" x14ac:dyDescent="0.3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941</v>
      </c>
    </row>
    <row r="132" spans="1:17" x14ac:dyDescent="0.3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939</v>
      </c>
    </row>
    <row r="133" spans="1:17" x14ac:dyDescent="0.3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941</v>
      </c>
    </row>
    <row r="134" spans="1:17" x14ac:dyDescent="0.3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939</v>
      </c>
    </row>
    <row r="135" spans="1:17" x14ac:dyDescent="0.3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942</v>
      </c>
    </row>
    <row r="136" spans="1:17" x14ac:dyDescent="0.3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942</v>
      </c>
    </row>
    <row r="137" spans="1:17" x14ac:dyDescent="0.3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941</v>
      </c>
    </row>
    <row r="138" spans="1:17" x14ac:dyDescent="0.3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943</v>
      </c>
    </row>
    <row r="139" spans="1:17" x14ac:dyDescent="0.3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940</v>
      </c>
    </row>
    <row r="140" spans="1:17" x14ac:dyDescent="0.3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939</v>
      </c>
    </row>
    <row r="141" spans="1:17" x14ac:dyDescent="0.3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942</v>
      </c>
    </row>
    <row r="142" spans="1:17" x14ac:dyDescent="0.3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942</v>
      </c>
    </row>
    <row r="143" spans="1:17" x14ac:dyDescent="0.3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942</v>
      </c>
    </row>
    <row r="144" spans="1:17" x14ac:dyDescent="0.3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940</v>
      </c>
    </row>
    <row r="145" spans="1:17" x14ac:dyDescent="0.3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940</v>
      </c>
    </row>
    <row r="146" spans="1:17" x14ac:dyDescent="0.3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942</v>
      </c>
    </row>
    <row r="147" spans="1:17" x14ac:dyDescent="0.3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942</v>
      </c>
    </row>
    <row r="148" spans="1:17" x14ac:dyDescent="0.3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940</v>
      </c>
    </row>
    <row r="149" spans="1:17" x14ac:dyDescent="0.3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940</v>
      </c>
    </row>
    <row r="150" spans="1:17" x14ac:dyDescent="0.3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942</v>
      </c>
    </row>
    <row r="151" spans="1:17" x14ac:dyDescent="0.3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941</v>
      </c>
    </row>
    <row r="152" spans="1:17" x14ac:dyDescent="0.3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943</v>
      </c>
    </row>
    <row r="153" spans="1:17" x14ac:dyDescent="0.3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943</v>
      </c>
    </row>
    <row r="154" spans="1:17" x14ac:dyDescent="0.3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943</v>
      </c>
    </row>
    <row r="155" spans="1:17" x14ac:dyDescent="0.3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940</v>
      </c>
    </row>
    <row r="156" spans="1:17" x14ac:dyDescent="0.3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942</v>
      </c>
    </row>
    <row r="157" spans="1:17" x14ac:dyDescent="0.3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937</v>
      </c>
    </row>
    <row r="158" spans="1:17" x14ac:dyDescent="0.3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940</v>
      </c>
    </row>
    <row r="159" spans="1:17" x14ac:dyDescent="0.3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940</v>
      </c>
    </row>
    <row r="160" spans="1:17" x14ac:dyDescent="0.3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942</v>
      </c>
    </row>
    <row r="161" spans="1:17" x14ac:dyDescent="0.3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941</v>
      </c>
    </row>
    <row r="162" spans="1:17" x14ac:dyDescent="0.3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940</v>
      </c>
    </row>
    <row r="163" spans="1:17" x14ac:dyDescent="0.3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940</v>
      </c>
    </row>
    <row r="164" spans="1:17" x14ac:dyDescent="0.3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941</v>
      </c>
    </row>
    <row r="165" spans="1:17" x14ac:dyDescent="0.3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942</v>
      </c>
    </row>
    <row r="166" spans="1:17" x14ac:dyDescent="0.3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942</v>
      </c>
    </row>
    <row r="167" spans="1:17" x14ac:dyDescent="0.3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942</v>
      </c>
    </row>
    <row r="168" spans="1:17" x14ac:dyDescent="0.3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940</v>
      </c>
    </row>
    <row r="169" spans="1:17" x14ac:dyDescent="0.3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941</v>
      </c>
    </row>
    <row r="170" spans="1:17" x14ac:dyDescent="0.3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941</v>
      </c>
    </row>
    <row r="171" spans="1:17" x14ac:dyDescent="0.3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940</v>
      </c>
    </row>
    <row r="172" spans="1:17" x14ac:dyDescent="0.3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943</v>
      </c>
    </row>
    <row r="173" spans="1:17" x14ac:dyDescent="0.3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942</v>
      </c>
    </row>
    <row r="174" spans="1:17" x14ac:dyDescent="0.3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941</v>
      </c>
    </row>
    <row r="175" spans="1:17" x14ac:dyDescent="0.3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942</v>
      </c>
    </row>
    <row r="176" spans="1:17" x14ac:dyDescent="0.3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942</v>
      </c>
    </row>
    <row r="177" spans="1:17" x14ac:dyDescent="0.3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942</v>
      </c>
    </row>
    <row r="178" spans="1:17" x14ac:dyDescent="0.3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940</v>
      </c>
    </row>
    <row r="179" spans="1:17" x14ac:dyDescent="0.3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943</v>
      </c>
    </row>
    <row r="180" spans="1:17" x14ac:dyDescent="0.3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940</v>
      </c>
    </row>
    <row r="181" spans="1:17" x14ac:dyDescent="0.3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942</v>
      </c>
    </row>
    <row r="182" spans="1:17" x14ac:dyDescent="0.3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940</v>
      </c>
    </row>
    <row r="183" spans="1:17" x14ac:dyDescent="0.3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941</v>
      </c>
    </row>
    <row r="184" spans="1:17" x14ac:dyDescent="0.3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943</v>
      </c>
    </row>
    <row r="185" spans="1:17" x14ac:dyDescent="0.3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943</v>
      </c>
    </row>
    <row r="186" spans="1:17" x14ac:dyDescent="0.3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942</v>
      </c>
    </row>
    <row r="187" spans="1:17" x14ac:dyDescent="0.3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937</v>
      </c>
    </row>
    <row r="188" spans="1:17" x14ac:dyDescent="0.3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940</v>
      </c>
    </row>
    <row r="189" spans="1:17" x14ac:dyDescent="0.3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939</v>
      </c>
    </row>
    <row r="190" spans="1:17" x14ac:dyDescent="0.3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937</v>
      </c>
    </row>
    <row r="191" spans="1:17" x14ac:dyDescent="0.3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943</v>
      </c>
    </row>
    <row r="192" spans="1:17" x14ac:dyDescent="0.3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943</v>
      </c>
    </row>
    <row r="193" spans="1:17" x14ac:dyDescent="0.3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941</v>
      </c>
    </row>
    <row r="194" spans="1:17" x14ac:dyDescent="0.3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940</v>
      </c>
    </row>
    <row r="195" spans="1:17" x14ac:dyDescent="0.3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940</v>
      </c>
    </row>
    <row r="196" spans="1:17" x14ac:dyDescent="0.3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939</v>
      </c>
    </row>
    <row r="197" spans="1:17" x14ac:dyDescent="0.3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940</v>
      </c>
    </row>
    <row r="198" spans="1:17" x14ac:dyDescent="0.3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942</v>
      </c>
    </row>
    <row r="199" spans="1:17" x14ac:dyDescent="0.3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942</v>
      </c>
    </row>
    <row r="200" spans="1:17" x14ac:dyDescent="0.3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942</v>
      </c>
    </row>
    <row r="201" spans="1:17" x14ac:dyDescent="0.3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941</v>
      </c>
    </row>
    <row r="202" spans="1:17" x14ac:dyDescent="0.3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938</v>
      </c>
    </row>
    <row r="203" spans="1:17" x14ac:dyDescent="0.3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941</v>
      </c>
    </row>
    <row r="204" spans="1:17" x14ac:dyDescent="0.3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943</v>
      </c>
    </row>
    <row r="205" spans="1:17" x14ac:dyDescent="0.3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943</v>
      </c>
    </row>
    <row r="206" spans="1:17" x14ac:dyDescent="0.3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942</v>
      </c>
    </row>
    <row r="207" spans="1:17" x14ac:dyDescent="0.3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941</v>
      </c>
    </row>
    <row r="208" spans="1:17" x14ac:dyDescent="0.3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940</v>
      </c>
    </row>
    <row r="209" spans="1:17" x14ac:dyDescent="0.3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941</v>
      </c>
    </row>
    <row r="210" spans="1:17" x14ac:dyDescent="0.3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938</v>
      </c>
    </row>
    <row r="211" spans="1:17" x14ac:dyDescent="0.3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940</v>
      </c>
    </row>
    <row r="212" spans="1:17" x14ac:dyDescent="0.3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942</v>
      </c>
    </row>
    <row r="213" spans="1:17" x14ac:dyDescent="0.3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942</v>
      </c>
    </row>
    <row r="214" spans="1:17" x14ac:dyDescent="0.3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943</v>
      </c>
    </row>
    <row r="215" spans="1:17" x14ac:dyDescent="0.3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938</v>
      </c>
    </row>
    <row r="216" spans="1:17" x14ac:dyDescent="0.3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942</v>
      </c>
    </row>
    <row r="217" spans="1:17" x14ac:dyDescent="0.3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940</v>
      </c>
    </row>
    <row r="218" spans="1:17" x14ac:dyDescent="0.3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941</v>
      </c>
    </row>
    <row r="219" spans="1:17" x14ac:dyDescent="0.3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937</v>
      </c>
    </row>
    <row r="220" spans="1:17" x14ac:dyDescent="0.3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939</v>
      </c>
    </row>
    <row r="221" spans="1:17" x14ac:dyDescent="0.3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942</v>
      </c>
    </row>
    <row r="222" spans="1:17" x14ac:dyDescent="0.3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939</v>
      </c>
    </row>
    <row r="223" spans="1:17" x14ac:dyDescent="0.3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938</v>
      </c>
    </row>
    <row r="224" spans="1:17" x14ac:dyDescent="0.3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939</v>
      </c>
    </row>
    <row r="225" spans="1:17" x14ac:dyDescent="0.3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939</v>
      </c>
    </row>
    <row r="226" spans="1:17" x14ac:dyDescent="0.3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937</v>
      </c>
    </row>
    <row r="227" spans="1:17" x14ac:dyDescent="0.3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941</v>
      </c>
    </row>
    <row r="228" spans="1:17" x14ac:dyDescent="0.3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940</v>
      </c>
    </row>
    <row r="229" spans="1:17" x14ac:dyDescent="0.3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940</v>
      </c>
    </row>
    <row r="230" spans="1:17" x14ac:dyDescent="0.3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943</v>
      </c>
    </row>
    <row r="231" spans="1:17" x14ac:dyDescent="0.3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938</v>
      </c>
    </row>
    <row r="232" spans="1:17" x14ac:dyDescent="0.3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939</v>
      </c>
    </row>
    <row r="233" spans="1:17" x14ac:dyDescent="0.3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943</v>
      </c>
    </row>
    <row r="234" spans="1:17" x14ac:dyDescent="0.3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938</v>
      </c>
    </row>
    <row r="235" spans="1:17" x14ac:dyDescent="0.3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940</v>
      </c>
    </row>
    <row r="236" spans="1:17" x14ac:dyDescent="0.3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938</v>
      </c>
    </row>
    <row r="237" spans="1:17" x14ac:dyDescent="0.3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942</v>
      </c>
    </row>
    <row r="238" spans="1:17" x14ac:dyDescent="0.3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941</v>
      </c>
    </row>
    <row r="239" spans="1:17" x14ac:dyDescent="0.3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942</v>
      </c>
    </row>
    <row r="240" spans="1:17" x14ac:dyDescent="0.3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940</v>
      </c>
    </row>
    <row r="241" spans="1:17" x14ac:dyDescent="0.3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938</v>
      </c>
    </row>
    <row r="242" spans="1:17" x14ac:dyDescent="0.3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940</v>
      </c>
    </row>
    <row r="243" spans="1:17" x14ac:dyDescent="0.3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943</v>
      </c>
    </row>
    <row r="244" spans="1:17" x14ac:dyDescent="0.3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943</v>
      </c>
    </row>
    <row r="245" spans="1:17" x14ac:dyDescent="0.3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940</v>
      </c>
    </row>
    <row r="246" spans="1:17" x14ac:dyDescent="0.3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943</v>
      </c>
    </row>
    <row r="247" spans="1:17" x14ac:dyDescent="0.3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937</v>
      </c>
    </row>
    <row r="248" spans="1:17" x14ac:dyDescent="0.3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943</v>
      </c>
    </row>
    <row r="249" spans="1:17" x14ac:dyDescent="0.3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942</v>
      </c>
    </row>
    <row r="250" spans="1:17" x14ac:dyDescent="0.3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942</v>
      </c>
    </row>
    <row r="251" spans="1:17" x14ac:dyDescent="0.3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938</v>
      </c>
    </row>
    <row r="252" spans="1:17" x14ac:dyDescent="0.3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937</v>
      </c>
    </row>
    <row r="253" spans="1:17" x14ac:dyDescent="0.3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942</v>
      </c>
    </row>
    <row r="254" spans="1:17" x14ac:dyDescent="0.3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940</v>
      </c>
    </row>
    <row r="255" spans="1:17" x14ac:dyDescent="0.3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937</v>
      </c>
    </row>
    <row r="256" spans="1:17" x14ac:dyDescent="0.3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937</v>
      </c>
    </row>
    <row r="257" spans="1:17" x14ac:dyDescent="0.3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941</v>
      </c>
    </row>
    <row r="258" spans="1:17" x14ac:dyDescent="0.3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943</v>
      </c>
    </row>
    <row r="259" spans="1:17" x14ac:dyDescent="0.3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937</v>
      </c>
    </row>
    <row r="260" spans="1:17" x14ac:dyDescent="0.3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943</v>
      </c>
    </row>
    <row r="261" spans="1:17" x14ac:dyDescent="0.3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943</v>
      </c>
    </row>
    <row r="262" spans="1:17" x14ac:dyDescent="0.3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942</v>
      </c>
    </row>
    <row r="263" spans="1:17" x14ac:dyDescent="0.3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937</v>
      </c>
    </row>
    <row r="264" spans="1:17" x14ac:dyDescent="0.3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939</v>
      </c>
    </row>
    <row r="265" spans="1:17" x14ac:dyDescent="0.3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939</v>
      </c>
    </row>
    <row r="266" spans="1:17" x14ac:dyDescent="0.3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937</v>
      </c>
    </row>
    <row r="267" spans="1:17" x14ac:dyDescent="0.3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937</v>
      </c>
    </row>
    <row r="268" spans="1:17" x14ac:dyDescent="0.3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943</v>
      </c>
    </row>
    <row r="269" spans="1:17" x14ac:dyDescent="0.3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937</v>
      </c>
    </row>
    <row r="270" spans="1:17" x14ac:dyDescent="0.3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937</v>
      </c>
    </row>
    <row r="271" spans="1:17" x14ac:dyDescent="0.3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940</v>
      </c>
    </row>
    <row r="272" spans="1:17" x14ac:dyDescent="0.3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940</v>
      </c>
    </row>
    <row r="273" spans="1:17" x14ac:dyDescent="0.3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937</v>
      </c>
    </row>
    <row r="274" spans="1:17" x14ac:dyDescent="0.3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937</v>
      </c>
    </row>
    <row r="275" spans="1:17" x14ac:dyDescent="0.3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939</v>
      </c>
    </row>
    <row r="276" spans="1:17" x14ac:dyDescent="0.3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937</v>
      </c>
    </row>
    <row r="277" spans="1:17" x14ac:dyDescent="0.3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939</v>
      </c>
    </row>
    <row r="278" spans="1:17" x14ac:dyDescent="0.3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940</v>
      </c>
    </row>
    <row r="279" spans="1:17" x14ac:dyDescent="0.3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940</v>
      </c>
    </row>
    <row r="280" spans="1:17" x14ac:dyDescent="0.3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938</v>
      </c>
    </row>
    <row r="281" spans="1:17" x14ac:dyDescent="0.3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940</v>
      </c>
    </row>
    <row r="282" spans="1:17" x14ac:dyDescent="0.3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941</v>
      </c>
    </row>
    <row r="283" spans="1:17" x14ac:dyDescent="0.3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940</v>
      </c>
    </row>
    <row r="284" spans="1:17" x14ac:dyDescent="0.3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940</v>
      </c>
    </row>
    <row r="285" spans="1:17" x14ac:dyDescent="0.3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940</v>
      </c>
    </row>
    <row r="286" spans="1:17" x14ac:dyDescent="0.3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941</v>
      </c>
    </row>
    <row r="287" spans="1:17" x14ac:dyDescent="0.3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937</v>
      </c>
    </row>
    <row r="288" spans="1:17" x14ac:dyDescent="0.3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943</v>
      </c>
    </row>
    <row r="289" spans="1:17" x14ac:dyDescent="0.3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941</v>
      </c>
    </row>
    <row r="290" spans="1:17" x14ac:dyDescent="0.3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939</v>
      </c>
    </row>
    <row r="291" spans="1:17" x14ac:dyDescent="0.3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941</v>
      </c>
    </row>
    <row r="292" spans="1:17" x14ac:dyDescent="0.3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938</v>
      </c>
    </row>
    <row r="293" spans="1:17" x14ac:dyDescent="0.3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943</v>
      </c>
    </row>
    <row r="294" spans="1:17" x14ac:dyDescent="0.3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941</v>
      </c>
    </row>
    <row r="295" spans="1:17" x14ac:dyDescent="0.3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942</v>
      </c>
    </row>
    <row r="296" spans="1:17" x14ac:dyDescent="0.3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942</v>
      </c>
    </row>
    <row r="297" spans="1:17" x14ac:dyDescent="0.3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938</v>
      </c>
    </row>
    <row r="298" spans="1:17" x14ac:dyDescent="0.3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941</v>
      </c>
    </row>
    <row r="299" spans="1:17" x14ac:dyDescent="0.3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937</v>
      </c>
    </row>
    <row r="300" spans="1:17" x14ac:dyDescent="0.3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939</v>
      </c>
    </row>
    <row r="301" spans="1:17" x14ac:dyDescent="0.3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939</v>
      </c>
    </row>
    <row r="302" spans="1:17" x14ac:dyDescent="0.3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939</v>
      </c>
    </row>
    <row r="303" spans="1:17" x14ac:dyDescent="0.3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937</v>
      </c>
    </row>
    <row r="304" spans="1:17" x14ac:dyDescent="0.3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938</v>
      </c>
    </row>
    <row r="305" spans="1:17" x14ac:dyDescent="0.3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939</v>
      </c>
    </row>
    <row r="306" spans="1:17" x14ac:dyDescent="0.3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939</v>
      </c>
    </row>
    <row r="307" spans="1:17" x14ac:dyDescent="0.3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941</v>
      </c>
    </row>
    <row r="308" spans="1:17" x14ac:dyDescent="0.3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939</v>
      </c>
    </row>
    <row r="309" spans="1:17" x14ac:dyDescent="0.3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939</v>
      </c>
    </row>
    <row r="310" spans="1:17" x14ac:dyDescent="0.3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940</v>
      </c>
    </row>
    <row r="311" spans="1:17" x14ac:dyDescent="0.3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942</v>
      </c>
    </row>
    <row r="312" spans="1:17" x14ac:dyDescent="0.3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940</v>
      </c>
    </row>
    <row r="313" spans="1:17" x14ac:dyDescent="0.3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938</v>
      </c>
    </row>
    <row r="314" spans="1:17" x14ac:dyDescent="0.3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942</v>
      </c>
    </row>
    <row r="315" spans="1:17" x14ac:dyDescent="0.3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943</v>
      </c>
    </row>
    <row r="316" spans="1:17" x14ac:dyDescent="0.3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937</v>
      </c>
    </row>
    <row r="317" spans="1:17" x14ac:dyDescent="0.3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941</v>
      </c>
    </row>
    <row r="318" spans="1:17" x14ac:dyDescent="0.3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942</v>
      </c>
    </row>
    <row r="319" spans="1:17" x14ac:dyDescent="0.3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940</v>
      </c>
    </row>
    <row r="320" spans="1:17" x14ac:dyDescent="0.3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943</v>
      </c>
    </row>
    <row r="321" spans="1:17" x14ac:dyDescent="0.3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943</v>
      </c>
    </row>
    <row r="322" spans="1:17" x14ac:dyDescent="0.3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938</v>
      </c>
    </row>
    <row r="323" spans="1:17" x14ac:dyDescent="0.3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938</v>
      </c>
    </row>
    <row r="324" spans="1:17" x14ac:dyDescent="0.3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941</v>
      </c>
    </row>
    <row r="325" spans="1:17" x14ac:dyDescent="0.3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941</v>
      </c>
    </row>
    <row r="326" spans="1:17" x14ac:dyDescent="0.3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943</v>
      </c>
    </row>
    <row r="327" spans="1:17" x14ac:dyDescent="0.3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942</v>
      </c>
    </row>
    <row r="328" spans="1:17" x14ac:dyDescent="0.3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942</v>
      </c>
    </row>
    <row r="329" spans="1:17" x14ac:dyDescent="0.3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940</v>
      </c>
    </row>
    <row r="330" spans="1:17" x14ac:dyDescent="0.3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938</v>
      </c>
    </row>
    <row r="331" spans="1:17" x14ac:dyDescent="0.3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942</v>
      </c>
    </row>
    <row r="332" spans="1:17" x14ac:dyDescent="0.3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939</v>
      </c>
    </row>
    <row r="333" spans="1:17" x14ac:dyDescent="0.3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943</v>
      </c>
    </row>
    <row r="334" spans="1:17" x14ac:dyDescent="0.3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939</v>
      </c>
    </row>
    <row r="335" spans="1:17" x14ac:dyDescent="0.3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941</v>
      </c>
    </row>
    <row r="336" spans="1:17" x14ac:dyDescent="0.3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939</v>
      </c>
    </row>
    <row r="337" spans="1:17" x14ac:dyDescent="0.3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940</v>
      </c>
    </row>
    <row r="338" spans="1:17" x14ac:dyDescent="0.3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943</v>
      </c>
    </row>
    <row r="339" spans="1:17" x14ac:dyDescent="0.3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938</v>
      </c>
    </row>
    <row r="340" spans="1:17" x14ac:dyDescent="0.3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943</v>
      </c>
    </row>
    <row r="341" spans="1:17" x14ac:dyDescent="0.3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942</v>
      </c>
    </row>
    <row r="342" spans="1:17" x14ac:dyDescent="0.3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939</v>
      </c>
    </row>
    <row r="343" spans="1:17" x14ac:dyDescent="0.3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937</v>
      </c>
    </row>
    <row r="344" spans="1:17" x14ac:dyDescent="0.3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940</v>
      </c>
    </row>
    <row r="345" spans="1:17" x14ac:dyDescent="0.3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939</v>
      </c>
    </row>
    <row r="346" spans="1:17" x14ac:dyDescent="0.3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943</v>
      </c>
    </row>
    <row r="347" spans="1:17" x14ac:dyDescent="0.3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941</v>
      </c>
    </row>
    <row r="348" spans="1:17" x14ac:dyDescent="0.3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939</v>
      </c>
    </row>
    <row r="349" spans="1:17" x14ac:dyDescent="0.3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943</v>
      </c>
    </row>
    <row r="350" spans="1:17" x14ac:dyDescent="0.3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941</v>
      </c>
    </row>
    <row r="351" spans="1:17" x14ac:dyDescent="0.3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941</v>
      </c>
    </row>
    <row r="352" spans="1:17" x14ac:dyDescent="0.3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943</v>
      </c>
    </row>
    <row r="353" spans="1:17" x14ac:dyDescent="0.3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939</v>
      </c>
    </row>
    <row r="354" spans="1:17" x14ac:dyDescent="0.3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938</v>
      </c>
    </row>
    <row r="355" spans="1:17" x14ac:dyDescent="0.3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940</v>
      </c>
    </row>
    <row r="356" spans="1:17" x14ac:dyDescent="0.3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937</v>
      </c>
    </row>
    <row r="357" spans="1:17" x14ac:dyDescent="0.3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939</v>
      </c>
    </row>
    <row r="358" spans="1:17" x14ac:dyDescent="0.3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939</v>
      </c>
    </row>
    <row r="359" spans="1:17" x14ac:dyDescent="0.3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942</v>
      </c>
    </row>
    <row r="360" spans="1:17" x14ac:dyDescent="0.3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939</v>
      </c>
    </row>
    <row r="361" spans="1:17" x14ac:dyDescent="0.3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942</v>
      </c>
    </row>
    <row r="362" spans="1:17" x14ac:dyDescent="0.3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940</v>
      </c>
    </row>
    <row r="363" spans="1:17" x14ac:dyDescent="0.3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943</v>
      </c>
    </row>
    <row r="364" spans="1:17" x14ac:dyDescent="0.3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940</v>
      </c>
    </row>
    <row r="365" spans="1:17" x14ac:dyDescent="0.3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942</v>
      </c>
    </row>
    <row r="366" spans="1:17" x14ac:dyDescent="0.3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941</v>
      </c>
    </row>
    <row r="367" spans="1:17" x14ac:dyDescent="0.3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941</v>
      </c>
    </row>
    <row r="368" spans="1:17" x14ac:dyDescent="0.3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942</v>
      </c>
    </row>
    <row r="369" spans="1:17" x14ac:dyDescent="0.3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940</v>
      </c>
    </row>
    <row r="370" spans="1:17" x14ac:dyDescent="0.3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940</v>
      </c>
    </row>
    <row r="371" spans="1:17" x14ac:dyDescent="0.3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941</v>
      </c>
    </row>
    <row r="372" spans="1:17" x14ac:dyDescent="0.3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941</v>
      </c>
    </row>
    <row r="373" spans="1:17" x14ac:dyDescent="0.3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937</v>
      </c>
    </row>
    <row r="374" spans="1:17" x14ac:dyDescent="0.3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942</v>
      </c>
    </row>
    <row r="375" spans="1:17" x14ac:dyDescent="0.3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939</v>
      </c>
    </row>
    <row r="376" spans="1:17" x14ac:dyDescent="0.3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943</v>
      </c>
    </row>
    <row r="377" spans="1:17" x14ac:dyDescent="0.3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938</v>
      </c>
    </row>
    <row r="378" spans="1:17" x14ac:dyDescent="0.3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943</v>
      </c>
    </row>
    <row r="379" spans="1:17" x14ac:dyDescent="0.3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937</v>
      </c>
    </row>
    <row r="380" spans="1:17" x14ac:dyDescent="0.3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940</v>
      </c>
    </row>
    <row r="381" spans="1:17" x14ac:dyDescent="0.3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940</v>
      </c>
    </row>
    <row r="382" spans="1:17" x14ac:dyDescent="0.3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940</v>
      </c>
    </row>
    <row r="383" spans="1:17" x14ac:dyDescent="0.3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942</v>
      </c>
    </row>
    <row r="384" spans="1:17" x14ac:dyDescent="0.3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942</v>
      </c>
    </row>
    <row r="385" spans="1:17" x14ac:dyDescent="0.3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940</v>
      </c>
    </row>
    <row r="386" spans="1:17" x14ac:dyDescent="0.3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940</v>
      </c>
    </row>
    <row r="387" spans="1:17" x14ac:dyDescent="0.3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937</v>
      </c>
    </row>
    <row r="388" spans="1:17" x14ac:dyDescent="0.3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939</v>
      </c>
    </row>
    <row r="389" spans="1:17" x14ac:dyDescent="0.3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938</v>
      </c>
    </row>
    <row r="390" spans="1:17" x14ac:dyDescent="0.3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940</v>
      </c>
    </row>
    <row r="391" spans="1:17" x14ac:dyDescent="0.3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942</v>
      </c>
    </row>
    <row r="392" spans="1:17" x14ac:dyDescent="0.3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937</v>
      </c>
    </row>
    <row r="393" spans="1:17" x14ac:dyDescent="0.3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940</v>
      </c>
    </row>
    <row r="394" spans="1:17" x14ac:dyDescent="0.3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943</v>
      </c>
    </row>
    <row r="395" spans="1:17" x14ac:dyDescent="0.3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940</v>
      </c>
    </row>
    <row r="396" spans="1:17" x14ac:dyDescent="0.3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943</v>
      </c>
    </row>
    <row r="397" spans="1:17" x14ac:dyDescent="0.3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942</v>
      </c>
    </row>
    <row r="398" spans="1:17" x14ac:dyDescent="0.3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940</v>
      </c>
    </row>
    <row r="399" spans="1:17" x14ac:dyDescent="0.3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941</v>
      </c>
    </row>
    <row r="400" spans="1:17" x14ac:dyDescent="0.3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943</v>
      </c>
    </row>
    <row r="401" spans="1:17" x14ac:dyDescent="0.3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940</v>
      </c>
    </row>
    <row r="402" spans="1:17" x14ac:dyDescent="0.3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943</v>
      </c>
    </row>
    <row r="403" spans="1:17" x14ac:dyDescent="0.3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942</v>
      </c>
    </row>
    <row r="404" spans="1:17" x14ac:dyDescent="0.3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937</v>
      </c>
    </row>
    <row r="405" spans="1:17" x14ac:dyDescent="0.3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937</v>
      </c>
    </row>
    <row r="406" spans="1:17" x14ac:dyDescent="0.3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942</v>
      </c>
    </row>
    <row r="407" spans="1:17" x14ac:dyDescent="0.3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938</v>
      </c>
    </row>
    <row r="408" spans="1:17" x14ac:dyDescent="0.3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942</v>
      </c>
    </row>
    <row r="409" spans="1:17" x14ac:dyDescent="0.3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942</v>
      </c>
    </row>
    <row r="410" spans="1:17" x14ac:dyDescent="0.3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938</v>
      </c>
    </row>
    <row r="411" spans="1:17" x14ac:dyDescent="0.3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941</v>
      </c>
    </row>
    <row r="412" spans="1:17" x14ac:dyDescent="0.3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942</v>
      </c>
    </row>
    <row r="413" spans="1:17" x14ac:dyDescent="0.3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940</v>
      </c>
    </row>
    <row r="414" spans="1:17" x14ac:dyDescent="0.3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939</v>
      </c>
    </row>
    <row r="415" spans="1:17" x14ac:dyDescent="0.3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940</v>
      </c>
    </row>
    <row r="416" spans="1:17" x14ac:dyDescent="0.3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943</v>
      </c>
    </row>
    <row r="417" spans="1:17" x14ac:dyDescent="0.3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941</v>
      </c>
    </row>
    <row r="418" spans="1:17" x14ac:dyDescent="0.3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940</v>
      </c>
    </row>
    <row r="419" spans="1:17" x14ac:dyDescent="0.3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940</v>
      </c>
    </row>
    <row r="420" spans="1:17" x14ac:dyDescent="0.3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940</v>
      </c>
    </row>
    <row r="421" spans="1:17" x14ac:dyDescent="0.3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942</v>
      </c>
    </row>
    <row r="422" spans="1:17" x14ac:dyDescent="0.3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942</v>
      </c>
    </row>
    <row r="423" spans="1:17" x14ac:dyDescent="0.3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938</v>
      </c>
    </row>
    <row r="424" spans="1:17" x14ac:dyDescent="0.3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941</v>
      </c>
    </row>
    <row r="425" spans="1:17" x14ac:dyDescent="0.3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940</v>
      </c>
    </row>
    <row r="426" spans="1:17" x14ac:dyDescent="0.3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937</v>
      </c>
    </row>
    <row r="427" spans="1:17" x14ac:dyDescent="0.3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942</v>
      </c>
    </row>
    <row r="428" spans="1:17" x14ac:dyDescent="0.3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942</v>
      </c>
    </row>
    <row r="429" spans="1:17" x14ac:dyDescent="0.3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939</v>
      </c>
    </row>
    <row r="430" spans="1:17" x14ac:dyDescent="0.3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942</v>
      </c>
    </row>
    <row r="431" spans="1:17" x14ac:dyDescent="0.3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943</v>
      </c>
    </row>
    <row r="432" spans="1:17" x14ac:dyDescent="0.3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940</v>
      </c>
    </row>
    <row r="433" spans="1:17" x14ac:dyDescent="0.3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942</v>
      </c>
    </row>
    <row r="434" spans="1:17" x14ac:dyDescent="0.3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940</v>
      </c>
    </row>
    <row r="435" spans="1:17" x14ac:dyDescent="0.3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942</v>
      </c>
    </row>
    <row r="436" spans="1:17" x14ac:dyDescent="0.3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943</v>
      </c>
    </row>
    <row r="437" spans="1:17" x14ac:dyDescent="0.3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937</v>
      </c>
    </row>
    <row r="438" spans="1:17" x14ac:dyDescent="0.3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941</v>
      </c>
    </row>
    <row r="439" spans="1:17" x14ac:dyDescent="0.3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938</v>
      </c>
    </row>
    <row r="440" spans="1:17" x14ac:dyDescent="0.3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941</v>
      </c>
    </row>
    <row r="441" spans="1:17" x14ac:dyDescent="0.3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941</v>
      </c>
    </row>
    <row r="442" spans="1:17" x14ac:dyDescent="0.3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941</v>
      </c>
    </row>
    <row r="443" spans="1:17" x14ac:dyDescent="0.3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942</v>
      </c>
    </row>
    <row r="444" spans="1:17" x14ac:dyDescent="0.3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940</v>
      </c>
    </row>
    <row r="445" spans="1:17" x14ac:dyDescent="0.3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942</v>
      </c>
    </row>
    <row r="446" spans="1:17" x14ac:dyDescent="0.3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940</v>
      </c>
    </row>
    <row r="447" spans="1:17" x14ac:dyDescent="0.3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940</v>
      </c>
    </row>
    <row r="448" spans="1:17" x14ac:dyDescent="0.3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939</v>
      </c>
    </row>
    <row r="449" spans="1:17" x14ac:dyDescent="0.3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942</v>
      </c>
    </row>
    <row r="450" spans="1:17" x14ac:dyDescent="0.3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939</v>
      </c>
    </row>
    <row r="451" spans="1:17" x14ac:dyDescent="0.3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940</v>
      </c>
    </row>
    <row r="452" spans="1:17" x14ac:dyDescent="0.3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942</v>
      </c>
    </row>
    <row r="453" spans="1:17" x14ac:dyDescent="0.3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942</v>
      </c>
    </row>
    <row r="454" spans="1:17" x14ac:dyDescent="0.3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941</v>
      </c>
    </row>
    <row r="455" spans="1:17" x14ac:dyDescent="0.3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940</v>
      </c>
    </row>
    <row r="456" spans="1:17" x14ac:dyDescent="0.3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938</v>
      </c>
    </row>
    <row r="457" spans="1:17" x14ac:dyDescent="0.3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940</v>
      </c>
    </row>
    <row r="458" spans="1:17" x14ac:dyDescent="0.3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941</v>
      </c>
    </row>
    <row r="459" spans="1:17" x14ac:dyDescent="0.3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941</v>
      </c>
    </row>
    <row r="460" spans="1:17" x14ac:dyDescent="0.3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942</v>
      </c>
    </row>
    <row r="461" spans="1:17" x14ac:dyDescent="0.3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939</v>
      </c>
    </row>
    <row r="462" spans="1:17" x14ac:dyDescent="0.3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940</v>
      </c>
    </row>
    <row r="463" spans="1:17" x14ac:dyDescent="0.3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942</v>
      </c>
    </row>
    <row r="464" spans="1:17" x14ac:dyDescent="0.3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940</v>
      </c>
    </row>
    <row r="465" spans="1:17" x14ac:dyDescent="0.3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939</v>
      </c>
    </row>
    <row r="466" spans="1:17" x14ac:dyDescent="0.3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938</v>
      </c>
    </row>
    <row r="467" spans="1:17" x14ac:dyDescent="0.3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939</v>
      </c>
    </row>
    <row r="468" spans="1:17" x14ac:dyDescent="0.3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941</v>
      </c>
    </row>
    <row r="469" spans="1:17" x14ac:dyDescent="0.3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942</v>
      </c>
    </row>
    <row r="470" spans="1:17" x14ac:dyDescent="0.3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942</v>
      </c>
    </row>
    <row r="471" spans="1:17" x14ac:dyDescent="0.3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941</v>
      </c>
    </row>
    <row r="472" spans="1:17" x14ac:dyDescent="0.3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938</v>
      </c>
    </row>
    <row r="473" spans="1:17" x14ac:dyDescent="0.3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942</v>
      </c>
    </row>
    <row r="474" spans="1:17" x14ac:dyDescent="0.3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938</v>
      </c>
    </row>
    <row r="475" spans="1:17" x14ac:dyDescent="0.3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942</v>
      </c>
    </row>
    <row r="476" spans="1:17" x14ac:dyDescent="0.3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942</v>
      </c>
    </row>
    <row r="477" spans="1:17" x14ac:dyDescent="0.3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941</v>
      </c>
    </row>
    <row r="478" spans="1:17" x14ac:dyDescent="0.3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942</v>
      </c>
    </row>
    <row r="479" spans="1:17" x14ac:dyDescent="0.3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939</v>
      </c>
    </row>
    <row r="480" spans="1:17" x14ac:dyDescent="0.3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938</v>
      </c>
    </row>
    <row r="481" spans="1:17" x14ac:dyDescent="0.3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943</v>
      </c>
    </row>
    <row r="482" spans="1:17" x14ac:dyDescent="0.3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939</v>
      </c>
    </row>
    <row r="483" spans="1:17" x14ac:dyDescent="0.3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937</v>
      </c>
    </row>
    <row r="484" spans="1:17" x14ac:dyDescent="0.3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941</v>
      </c>
    </row>
    <row r="485" spans="1:17" x14ac:dyDescent="0.3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939</v>
      </c>
    </row>
    <row r="486" spans="1:17" x14ac:dyDescent="0.3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943</v>
      </c>
    </row>
    <row r="487" spans="1:17" x14ac:dyDescent="0.3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942</v>
      </c>
    </row>
    <row r="488" spans="1:17" x14ac:dyDescent="0.3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941</v>
      </c>
    </row>
    <row r="489" spans="1:17" x14ac:dyDescent="0.3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942</v>
      </c>
    </row>
    <row r="490" spans="1:17" x14ac:dyDescent="0.3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942</v>
      </c>
    </row>
    <row r="491" spans="1:17" x14ac:dyDescent="0.3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940</v>
      </c>
    </row>
    <row r="492" spans="1:17" x14ac:dyDescent="0.3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942</v>
      </c>
    </row>
    <row r="493" spans="1:17" x14ac:dyDescent="0.3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938</v>
      </c>
    </row>
    <row r="494" spans="1:17" x14ac:dyDescent="0.3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940</v>
      </c>
    </row>
    <row r="495" spans="1:17" x14ac:dyDescent="0.3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937</v>
      </c>
    </row>
    <row r="496" spans="1:17" x14ac:dyDescent="0.3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942</v>
      </c>
    </row>
    <row r="497" spans="1:17" x14ac:dyDescent="0.3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941</v>
      </c>
    </row>
    <row r="498" spans="1:17" x14ac:dyDescent="0.3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942</v>
      </c>
    </row>
    <row r="499" spans="1:17" x14ac:dyDescent="0.3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941</v>
      </c>
    </row>
    <row r="500" spans="1:17" x14ac:dyDescent="0.3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939</v>
      </c>
    </row>
    <row r="501" spans="1:17" x14ac:dyDescent="0.3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942</v>
      </c>
    </row>
    <row r="502" spans="1:17" x14ac:dyDescent="0.3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942</v>
      </c>
    </row>
    <row r="503" spans="1:17" x14ac:dyDescent="0.3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937</v>
      </c>
    </row>
    <row r="504" spans="1:17" x14ac:dyDescent="0.3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942</v>
      </c>
    </row>
    <row r="505" spans="1:17" x14ac:dyDescent="0.3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942</v>
      </c>
    </row>
    <row r="506" spans="1:17" x14ac:dyDescent="0.3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940</v>
      </c>
    </row>
    <row r="507" spans="1:17" x14ac:dyDescent="0.3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942</v>
      </c>
    </row>
    <row r="508" spans="1:17" x14ac:dyDescent="0.3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940</v>
      </c>
    </row>
    <row r="509" spans="1:17" x14ac:dyDescent="0.3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942</v>
      </c>
    </row>
    <row r="510" spans="1:17" x14ac:dyDescent="0.3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939</v>
      </c>
    </row>
    <row r="511" spans="1:17" x14ac:dyDescent="0.3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941</v>
      </c>
    </row>
    <row r="512" spans="1:17" x14ac:dyDescent="0.3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939</v>
      </c>
    </row>
    <row r="513" spans="1:17" x14ac:dyDescent="0.3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937</v>
      </c>
    </row>
    <row r="514" spans="1:17" x14ac:dyDescent="0.3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939</v>
      </c>
    </row>
    <row r="515" spans="1:17" x14ac:dyDescent="0.3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940</v>
      </c>
    </row>
    <row r="516" spans="1:17" x14ac:dyDescent="0.3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941</v>
      </c>
    </row>
    <row r="517" spans="1:17" x14ac:dyDescent="0.3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938</v>
      </c>
    </row>
    <row r="518" spans="1:17" x14ac:dyDescent="0.3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937</v>
      </c>
    </row>
    <row r="519" spans="1:17" x14ac:dyDescent="0.3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940</v>
      </c>
    </row>
    <row r="520" spans="1:17" x14ac:dyDescent="0.3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938</v>
      </c>
    </row>
    <row r="521" spans="1:17" x14ac:dyDescent="0.3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941</v>
      </c>
    </row>
    <row r="522" spans="1:17" x14ac:dyDescent="0.3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943</v>
      </c>
    </row>
    <row r="523" spans="1:17" x14ac:dyDescent="0.3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942</v>
      </c>
    </row>
    <row r="524" spans="1:17" x14ac:dyDescent="0.3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942</v>
      </c>
    </row>
    <row r="525" spans="1:17" x14ac:dyDescent="0.3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940</v>
      </c>
    </row>
    <row r="526" spans="1:17" x14ac:dyDescent="0.3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937</v>
      </c>
    </row>
    <row r="527" spans="1:17" x14ac:dyDescent="0.3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941</v>
      </c>
    </row>
    <row r="528" spans="1:17" x14ac:dyDescent="0.3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942</v>
      </c>
    </row>
    <row r="529" spans="1:17" x14ac:dyDescent="0.3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941</v>
      </c>
    </row>
    <row r="530" spans="1:17" x14ac:dyDescent="0.3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941</v>
      </c>
    </row>
    <row r="531" spans="1:17" x14ac:dyDescent="0.3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941</v>
      </c>
    </row>
    <row r="532" spans="1:17" x14ac:dyDescent="0.3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942</v>
      </c>
    </row>
    <row r="533" spans="1:17" x14ac:dyDescent="0.3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937</v>
      </c>
    </row>
    <row r="534" spans="1:17" x14ac:dyDescent="0.3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942</v>
      </c>
    </row>
    <row r="535" spans="1:17" x14ac:dyDescent="0.3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939</v>
      </c>
    </row>
    <row r="536" spans="1:17" x14ac:dyDescent="0.3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938</v>
      </c>
    </row>
    <row r="537" spans="1:17" x14ac:dyDescent="0.3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939</v>
      </c>
    </row>
    <row r="538" spans="1:17" x14ac:dyDescent="0.3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937</v>
      </c>
    </row>
    <row r="539" spans="1:17" x14ac:dyDescent="0.3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942</v>
      </c>
    </row>
    <row r="540" spans="1:17" x14ac:dyDescent="0.3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941</v>
      </c>
    </row>
    <row r="541" spans="1:17" x14ac:dyDescent="0.3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943</v>
      </c>
    </row>
    <row r="542" spans="1:17" x14ac:dyDescent="0.3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942</v>
      </c>
    </row>
    <row r="543" spans="1:17" x14ac:dyDescent="0.3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938</v>
      </c>
    </row>
    <row r="544" spans="1:17" x14ac:dyDescent="0.3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938</v>
      </c>
    </row>
    <row r="545" spans="1:17" x14ac:dyDescent="0.3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943</v>
      </c>
    </row>
    <row r="546" spans="1:17" x14ac:dyDescent="0.3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940</v>
      </c>
    </row>
    <row r="547" spans="1:17" x14ac:dyDescent="0.3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937</v>
      </c>
    </row>
    <row r="548" spans="1:17" x14ac:dyDescent="0.3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942</v>
      </c>
    </row>
    <row r="549" spans="1:17" x14ac:dyDescent="0.3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942</v>
      </c>
    </row>
    <row r="550" spans="1:17" x14ac:dyDescent="0.3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942</v>
      </c>
    </row>
    <row r="551" spans="1:17" x14ac:dyDescent="0.3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940</v>
      </c>
    </row>
    <row r="552" spans="1:17" x14ac:dyDescent="0.3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938</v>
      </c>
    </row>
    <row r="553" spans="1:17" x14ac:dyDescent="0.3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939</v>
      </c>
    </row>
    <row r="554" spans="1:17" x14ac:dyDescent="0.3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943</v>
      </c>
    </row>
    <row r="555" spans="1:17" x14ac:dyDescent="0.3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938</v>
      </c>
    </row>
    <row r="556" spans="1:17" x14ac:dyDescent="0.3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941</v>
      </c>
    </row>
    <row r="557" spans="1:17"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941</v>
      </c>
    </row>
    <row r="558" spans="1:17" x14ac:dyDescent="0.3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939</v>
      </c>
    </row>
    <row r="559" spans="1:17" x14ac:dyDescent="0.3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942</v>
      </c>
    </row>
    <row r="560" spans="1:17" x14ac:dyDescent="0.3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941</v>
      </c>
    </row>
    <row r="561" spans="1:17" x14ac:dyDescent="0.3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938</v>
      </c>
    </row>
    <row r="562" spans="1:17" x14ac:dyDescent="0.3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939</v>
      </c>
    </row>
    <row r="563" spans="1:17" x14ac:dyDescent="0.3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942</v>
      </c>
    </row>
    <row r="564" spans="1:17" x14ac:dyDescent="0.3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942</v>
      </c>
    </row>
    <row r="565" spans="1:17" x14ac:dyDescent="0.3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941</v>
      </c>
    </row>
    <row r="566" spans="1:17" x14ac:dyDescent="0.3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941</v>
      </c>
    </row>
    <row r="567" spans="1:17" x14ac:dyDescent="0.3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938</v>
      </c>
    </row>
    <row r="568" spans="1:17" x14ac:dyDescent="0.3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940</v>
      </c>
    </row>
    <row r="569" spans="1:17" x14ac:dyDescent="0.3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938</v>
      </c>
    </row>
    <row r="570" spans="1:17" x14ac:dyDescent="0.3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938</v>
      </c>
    </row>
    <row r="571" spans="1:17" x14ac:dyDescent="0.3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937</v>
      </c>
    </row>
    <row r="572" spans="1:17" x14ac:dyDescent="0.3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942</v>
      </c>
    </row>
    <row r="573" spans="1:17" x14ac:dyDescent="0.3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938</v>
      </c>
    </row>
    <row r="574" spans="1:17" x14ac:dyDescent="0.3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937</v>
      </c>
    </row>
    <row r="575" spans="1:17" x14ac:dyDescent="0.3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938</v>
      </c>
    </row>
    <row r="576" spans="1:17" x14ac:dyDescent="0.3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943</v>
      </c>
    </row>
    <row r="577" spans="1:17" x14ac:dyDescent="0.3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942</v>
      </c>
    </row>
    <row r="578" spans="1:17" x14ac:dyDescent="0.3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937</v>
      </c>
    </row>
    <row r="579" spans="1:17" x14ac:dyDescent="0.3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940</v>
      </c>
    </row>
    <row r="580" spans="1:17" x14ac:dyDescent="0.3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942</v>
      </c>
    </row>
    <row r="581" spans="1:17" x14ac:dyDescent="0.3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939</v>
      </c>
    </row>
    <row r="582" spans="1:17" x14ac:dyDescent="0.3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943</v>
      </c>
    </row>
    <row r="583" spans="1:17" x14ac:dyDescent="0.3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937</v>
      </c>
    </row>
    <row r="584" spans="1:17" x14ac:dyDescent="0.3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939</v>
      </c>
    </row>
    <row r="585" spans="1:17" x14ac:dyDescent="0.3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942</v>
      </c>
    </row>
    <row r="586" spans="1:17" x14ac:dyDescent="0.3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943</v>
      </c>
    </row>
    <row r="587" spans="1:17" x14ac:dyDescent="0.3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938</v>
      </c>
    </row>
    <row r="588" spans="1:17" x14ac:dyDescent="0.3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943</v>
      </c>
    </row>
    <row r="589" spans="1:17" x14ac:dyDescent="0.3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943</v>
      </c>
    </row>
    <row r="590" spans="1:17" x14ac:dyDescent="0.3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937</v>
      </c>
    </row>
    <row r="591" spans="1:17" x14ac:dyDescent="0.3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938</v>
      </c>
    </row>
    <row r="592" spans="1:17" x14ac:dyDescent="0.3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937</v>
      </c>
    </row>
    <row r="593" spans="1:17" x14ac:dyDescent="0.3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937</v>
      </c>
    </row>
    <row r="594" spans="1:17" x14ac:dyDescent="0.3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943</v>
      </c>
    </row>
    <row r="595" spans="1:17" x14ac:dyDescent="0.3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938</v>
      </c>
    </row>
    <row r="596" spans="1:17" x14ac:dyDescent="0.3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943</v>
      </c>
    </row>
    <row r="597" spans="1:17" x14ac:dyDescent="0.3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943</v>
      </c>
    </row>
    <row r="598" spans="1:17" x14ac:dyDescent="0.3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939</v>
      </c>
    </row>
    <row r="599" spans="1:17" x14ac:dyDescent="0.3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941</v>
      </c>
    </row>
    <row r="600" spans="1:17" x14ac:dyDescent="0.3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941</v>
      </c>
    </row>
    <row r="601" spans="1:17" x14ac:dyDescent="0.3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937</v>
      </c>
    </row>
    <row r="602" spans="1:17" x14ac:dyDescent="0.3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937</v>
      </c>
    </row>
    <row r="603" spans="1:17" x14ac:dyDescent="0.3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943</v>
      </c>
    </row>
    <row r="604" spans="1:17" x14ac:dyDescent="0.3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939</v>
      </c>
    </row>
    <row r="605" spans="1:17" x14ac:dyDescent="0.3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939</v>
      </c>
    </row>
    <row r="606" spans="1:17" x14ac:dyDescent="0.3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943</v>
      </c>
    </row>
    <row r="607" spans="1:17" x14ac:dyDescent="0.3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942</v>
      </c>
    </row>
    <row r="608" spans="1:17" x14ac:dyDescent="0.3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937</v>
      </c>
    </row>
    <row r="609" spans="1:17" x14ac:dyDescent="0.3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939</v>
      </c>
    </row>
    <row r="610" spans="1:17" x14ac:dyDescent="0.3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943</v>
      </c>
    </row>
    <row r="611" spans="1:17" x14ac:dyDescent="0.3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943</v>
      </c>
    </row>
    <row r="612" spans="1:17" x14ac:dyDescent="0.3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938</v>
      </c>
    </row>
    <row r="613" spans="1:17" x14ac:dyDescent="0.3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941</v>
      </c>
    </row>
    <row r="614" spans="1:17" x14ac:dyDescent="0.3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941</v>
      </c>
    </row>
    <row r="615" spans="1:17" x14ac:dyDescent="0.3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943</v>
      </c>
    </row>
    <row r="616" spans="1:17" x14ac:dyDescent="0.3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937</v>
      </c>
    </row>
    <row r="617" spans="1:17" x14ac:dyDescent="0.3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939</v>
      </c>
    </row>
    <row r="618" spans="1:17" x14ac:dyDescent="0.3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940</v>
      </c>
    </row>
    <row r="619" spans="1:17" x14ac:dyDescent="0.3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937</v>
      </c>
    </row>
    <row r="620" spans="1:17" x14ac:dyDescent="0.3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937</v>
      </c>
    </row>
    <row r="621" spans="1:17" x14ac:dyDescent="0.3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941</v>
      </c>
    </row>
    <row r="622" spans="1:17" x14ac:dyDescent="0.3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938</v>
      </c>
    </row>
    <row r="623" spans="1:17" x14ac:dyDescent="0.3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942</v>
      </c>
    </row>
    <row r="624" spans="1:17" x14ac:dyDescent="0.3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938</v>
      </c>
    </row>
    <row r="625" spans="1:17" x14ac:dyDescent="0.3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941</v>
      </c>
    </row>
    <row r="626" spans="1:17" x14ac:dyDescent="0.3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940</v>
      </c>
    </row>
    <row r="627" spans="1:17" x14ac:dyDescent="0.3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943</v>
      </c>
    </row>
    <row r="628" spans="1:17" x14ac:dyDescent="0.3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940</v>
      </c>
    </row>
    <row r="629" spans="1:17" x14ac:dyDescent="0.3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939</v>
      </c>
    </row>
    <row r="630" spans="1:17" x14ac:dyDescent="0.3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943</v>
      </c>
    </row>
    <row r="631" spans="1:17" x14ac:dyDescent="0.3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937</v>
      </c>
    </row>
    <row r="632" spans="1:17" x14ac:dyDescent="0.3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941</v>
      </c>
    </row>
    <row r="633" spans="1:17" x14ac:dyDescent="0.3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940</v>
      </c>
    </row>
    <row r="634" spans="1:17" x14ac:dyDescent="0.3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943</v>
      </c>
    </row>
    <row r="635" spans="1:17" x14ac:dyDescent="0.3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943</v>
      </c>
    </row>
    <row r="636" spans="1:17" x14ac:dyDescent="0.3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937</v>
      </c>
    </row>
    <row r="637" spans="1:17" x14ac:dyDescent="0.3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943</v>
      </c>
    </row>
    <row r="638" spans="1:17" x14ac:dyDescent="0.3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939</v>
      </c>
    </row>
    <row r="639" spans="1:17" x14ac:dyDescent="0.3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938</v>
      </c>
    </row>
    <row r="640" spans="1:17" x14ac:dyDescent="0.3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940</v>
      </c>
    </row>
    <row r="641" spans="1:17" x14ac:dyDescent="0.3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938</v>
      </c>
    </row>
    <row r="642" spans="1:17" x14ac:dyDescent="0.3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938</v>
      </c>
    </row>
    <row r="643" spans="1:17" x14ac:dyDescent="0.3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943</v>
      </c>
    </row>
    <row r="644" spans="1:17" x14ac:dyDescent="0.3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940</v>
      </c>
    </row>
    <row r="645" spans="1:17" x14ac:dyDescent="0.3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943</v>
      </c>
    </row>
    <row r="646" spans="1:17" x14ac:dyDescent="0.3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937</v>
      </c>
    </row>
    <row r="647" spans="1:17" x14ac:dyDescent="0.3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942</v>
      </c>
    </row>
    <row r="648" spans="1:17" x14ac:dyDescent="0.3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937</v>
      </c>
    </row>
    <row r="649" spans="1:17" x14ac:dyDescent="0.3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943</v>
      </c>
    </row>
    <row r="650" spans="1:17" x14ac:dyDescent="0.3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941</v>
      </c>
    </row>
    <row r="651" spans="1:17" x14ac:dyDescent="0.3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937</v>
      </c>
    </row>
    <row r="652" spans="1:17" x14ac:dyDescent="0.3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942</v>
      </c>
    </row>
    <row r="653" spans="1:17" x14ac:dyDescent="0.3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939</v>
      </c>
    </row>
    <row r="654" spans="1:17" x14ac:dyDescent="0.3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938</v>
      </c>
    </row>
    <row r="655" spans="1:17" x14ac:dyDescent="0.3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943</v>
      </c>
    </row>
    <row r="656" spans="1:17" x14ac:dyDescent="0.3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942</v>
      </c>
    </row>
    <row r="657" spans="1:17" x14ac:dyDescent="0.3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941</v>
      </c>
    </row>
    <row r="658" spans="1:17" x14ac:dyDescent="0.3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943</v>
      </c>
    </row>
    <row r="659" spans="1:17" x14ac:dyDescent="0.3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939</v>
      </c>
    </row>
    <row r="660" spans="1:17" x14ac:dyDescent="0.3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943</v>
      </c>
    </row>
    <row r="661" spans="1:17" x14ac:dyDescent="0.3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943</v>
      </c>
    </row>
    <row r="662" spans="1:17" x14ac:dyDescent="0.3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943</v>
      </c>
    </row>
    <row r="663" spans="1:17" x14ac:dyDescent="0.3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939</v>
      </c>
    </row>
    <row r="664" spans="1:17" x14ac:dyDescent="0.3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938</v>
      </c>
    </row>
    <row r="665" spans="1:17" x14ac:dyDescent="0.3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942</v>
      </c>
    </row>
    <row r="666" spans="1:17" x14ac:dyDescent="0.3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937</v>
      </c>
    </row>
    <row r="667" spans="1:17" x14ac:dyDescent="0.3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938</v>
      </c>
    </row>
    <row r="668" spans="1:17" x14ac:dyDescent="0.3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939</v>
      </c>
    </row>
    <row r="669" spans="1:17" x14ac:dyDescent="0.3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943</v>
      </c>
    </row>
    <row r="670" spans="1:17" x14ac:dyDescent="0.3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940</v>
      </c>
    </row>
    <row r="671" spans="1:17" x14ac:dyDescent="0.3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941</v>
      </c>
    </row>
    <row r="672" spans="1:17" x14ac:dyDescent="0.3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939</v>
      </c>
    </row>
    <row r="673" spans="1:17" x14ac:dyDescent="0.3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939</v>
      </c>
    </row>
    <row r="674" spans="1:17" x14ac:dyDescent="0.3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943</v>
      </c>
    </row>
    <row r="675" spans="1:17" x14ac:dyDescent="0.3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943</v>
      </c>
    </row>
    <row r="676" spans="1:17" x14ac:dyDescent="0.3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940</v>
      </c>
    </row>
    <row r="677" spans="1:17" x14ac:dyDescent="0.3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939</v>
      </c>
    </row>
    <row r="678" spans="1:17" x14ac:dyDescent="0.3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943</v>
      </c>
    </row>
    <row r="679" spans="1:17" x14ac:dyDescent="0.3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941</v>
      </c>
    </row>
    <row r="680" spans="1:17" x14ac:dyDescent="0.3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938</v>
      </c>
    </row>
    <row r="681" spans="1:17" x14ac:dyDescent="0.3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942</v>
      </c>
    </row>
    <row r="682" spans="1:17" x14ac:dyDescent="0.3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942</v>
      </c>
    </row>
    <row r="683" spans="1:17" x14ac:dyDescent="0.3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939</v>
      </c>
    </row>
    <row r="684" spans="1:17" x14ac:dyDescent="0.3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940</v>
      </c>
    </row>
    <row r="685" spans="1:17" x14ac:dyDescent="0.3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941</v>
      </c>
    </row>
    <row r="686" spans="1:17" x14ac:dyDescent="0.3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940</v>
      </c>
    </row>
    <row r="687" spans="1:17" x14ac:dyDescent="0.3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943</v>
      </c>
    </row>
    <row r="688" spans="1:17" x14ac:dyDescent="0.3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941</v>
      </c>
    </row>
    <row r="689" spans="1:17" x14ac:dyDescent="0.3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938</v>
      </c>
    </row>
    <row r="690" spans="1:17" x14ac:dyDescent="0.3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942</v>
      </c>
    </row>
    <row r="691" spans="1:17" x14ac:dyDescent="0.3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939</v>
      </c>
    </row>
    <row r="692" spans="1:17" x14ac:dyDescent="0.3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938</v>
      </c>
    </row>
    <row r="693" spans="1:17" x14ac:dyDescent="0.3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939</v>
      </c>
    </row>
    <row r="694" spans="1:17" x14ac:dyDescent="0.3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939</v>
      </c>
    </row>
    <row r="695" spans="1:17" x14ac:dyDescent="0.3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941</v>
      </c>
    </row>
    <row r="696" spans="1:17" x14ac:dyDescent="0.3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940</v>
      </c>
    </row>
    <row r="697" spans="1:17" x14ac:dyDescent="0.3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942</v>
      </c>
    </row>
    <row r="698" spans="1:17" x14ac:dyDescent="0.3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939</v>
      </c>
    </row>
    <row r="699" spans="1:17" x14ac:dyDescent="0.3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942</v>
      </c>
    </row>
    <row r="700" spans="1:17" x14ac:dyDescent="0.3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941</v>
      </c>
    </row>
    <row r="701" spans="1:17" x14ac:dyDescent="0.3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937</v>
      </c>
    </row>
    <row r="702" spans="1:17" x14ac:dyDescent="0.3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940</v>
      </c>
    </row>
    <row r="703" spans="1:17" x14ac:dyDescent="0.3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941</v>
      </c>
    </row>
    <row r="704" spans="1:17" x14ac:dyDescent="0.3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938</v>
      </c>
    </row>
    <row r="705" spans="1:17" x14ac:dyDescent="0.3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940</v>
      </c>
    </row>
    <row r="706" spans="1:17" x14ac:dyDescent="0.3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940</v>
      </c>
    </row>
    <row r="707" spans="1:17" x14ac:dyDescent="0.3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939</v>
      </c>
    </row>
    <row r="708" spans="1:17" x14ac:dyDescent="0.3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938</v>
      </c>
    </row>
    <row r="709" spans="1:17" x14ac:dyDescent="0.3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937</v>
      </c>
    </row>
    <row r="710" spans="1:17" x14ac:dyDescent="0.3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939</v>
      </c>
    </row>
    <row r="711" spans="1:17" x14ac:dyDescent="0.3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937</v>
      </c>
    </row>
    <row r="712" spans="1:17" x14ac:dyDescent="0.3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942</v>
      </c>
    </row>
    <row r="713" spans="1:17" x14ac:dyDescent="0.3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939</v>
      </c>
    </row>
    <row r="714" spans="1:17" x14ac:dyDescent="0.3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939</v>
      </c>
    </row>
    <row r="715" spans="1:17" x14ac:dyDescent="0.3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943</v>
      </c>
    </row>
    <row r="716" spans="1:17" x14ac:dyDescent="0.3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937</v>
      </c>
    </row>
    <row r="717" spans="1:17" x14ac:dyDescent="0.3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938</v>
      </c>
    </row>
    <row r="718" spans="1:17" x14ac:dyDescent="0.3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942</v>
      </c>
    </row>
    <row r="719" spans="1:17" x14ac:dyDescent="0.3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938</v>
      </c>
    </row>
    <row r="720" spans="1:17" x14ac:dyDescent="0.3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938</v>
      </c>
    </row>
    <row r="721" spans="1:17" x14ac:dyDescent="0.3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939</v>
      </c>
    </row>
    <row r="722" spans="1:17" x14ac:dyDescent="0.3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938</v>
      </c>
    </row>
    <row r="723" spans="1:17" x14ac:dyDescent="0.3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943</v>
      </c>
    </row>
    <row r="724" spans="1:17" x14ac:dyDescent="0.3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942</v>
      </c>
    </row>
    <row r="725" spans="1:17" x14ac:dyDescent="0.3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942</v>
      </c>
    </row>
    <row r="726" spans="1:17" x14ac:dyDescent="0.3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942</v>
      </c>
    </row>
    <row r="727" spans="1:17" x14ac:dyDescent="0.3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940</v>
      </c>
    </row>
    <row r="728" spans="1:17" x14ac:dyDescent="0.3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937</v>
      </c>
    </row>
    <row r="729" spans="1:17" x14ac:dyDescent="0.3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940</v>
      </c>
    </row>
    <row r="730" spans="1:17" x14ac:dyDescent="0.3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940</v>
      </c>
    </row>
    <row r="731" spans="1:17" x14ac:dyDescent="0.3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939</v>
      </c>
    </row>
    <row r="732" spans="1:17" x14ac:dyDescent="0.3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939</v>
      </c>
    </row>
    <row r="733" spans="1:17" x14ac:dyDescent="0.3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942</v>
      </c>
    </row>
    <row r="734" spans="1:17" x14ac:dyDescent="0.3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943</v>
      </c>
    </row>
    <row r="735" spans="1:17" x14ac:dyDescent="0.3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939</v>
      </c>
    </row>
    <row r="736" spans="1:17" x14ac:dyDescent="0.3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937</v>
      </c>
    </row>
    <row r="737" spans="1:17" x14ac:dyDescent="0.3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941</v>
      </c>
    </row>
    <row r="738" spans="1:17" x14ac:dyDescent="0.3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937</v>
      </c>
    </row>
    <row r="739" spans="1:17" x14ac:dyDescent="0.3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940</v>
      </c>
    </row>
    <row r="740" spans="1:17" x14ac:dyDescent="0.3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937</v>
      </c>
    </row>
    <row r="741" spans="1:17" x14ac:dyDescent="0.3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937</v>
      </c>
    </row>
    <row r="742" spans="1:17" x14ac:dyDescent="0.3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942</v>
      </c>
    </row>
    <row r="743" spans="1:17" x14ac:dyDescent="0.3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937</v>
      </c>
    </row>
    <row r="744" spans="1:17" x14ac:dyDescent="0.3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942</v>
      </c>
    </row>
    <row r="745" spans="1:17" x14ac:dyDescent="0.3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941</v>
      </c>
    </row>
    <row r="746" spans="1:17" x14ac:dyDescent="0.3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940</v>
      </c>
    </row>
    <row r="747" spans="1:17" x14ac:dyDescent="0.3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942</v>
      </c>
    </row>
    <row r="748" spans="1:17" x14ac:dyDescent="0.3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943</v>
      </c>
    </row>
    <row r="749" spans="1:17" x14ac:dyDescent="0.3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940</v>
      </c>
    </row>
    <row r="750" spans="1:17" x14ac:dyDescent="0.3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939</v>
      </c>
    </row>
    <row r="751" spans="1:17" x14ac:dyDescent="0.3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941</v>
      </c>
    </row>
    <row r="752" spans="1:17" x14ac:dyDescent="0.3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940</v>
      </c>
    </row>
    <row r="753" spans="1:17" x14ac:dyDescent="0.3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940</v>
      </c>
    </row>
    <row r="754" spans="1:17" x14ac:dyDescent="0.3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937</v>
      </c>
    </row>
    <row r="755" spans="1:17" x14ac:dyDescent="0.3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941</v>
      </c>
    </row>
    <row r="756" spans="1:17" x14ac:dyDescent="0.3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943</v>
      </c>
    </row>
    <row r="757" spans="1:17" x14ac:dyDescent="0.3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938</v>
      </c>
    </row>
    <row r="758" spans="1:17" x14ac:dyDescent="0.3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941</v>
      </c>
    </row>
    <row r="759" spans="1:17" x14ac:dyDescent="0.3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941</v>
      </c>
    </row>
    <row r="760" spans="1:17" x14ac:dyDescent="0.3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941</v>
      </c>
    </row>
    <row r="761" spans="1:17" x14ac:dyDescent="0.3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941</v>
      </c>
    </row>
    <row r="762" spans="1:17" x14ac:dyDescent="0.3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939</v>
      </c>
    </row>
    <row r="763" spans="1:17" x14ac:dyDescent="0.3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943</v>
      </c>
    </row>
    <row r="764" spans="1:17" x14ac:dyDescent="0.3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938</v>
      </c>
    </row>
    <row r="765" spans="1:17" x14ac:dyDescent="0.3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939</v>
      </c>
    </row>
    <row r="766" spans="1:17" x14ac:dyDescent="0.3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941</v>
      </c>
    </row>
    <row r="767" spans="1:17" x14ac:dyDescent="0.3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941</v>
      </c>
    </row>
    <row r="768" spans="1:17" x14ac:dyDescent="0.3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941</v>
      </c>
    </row>
    <row r="769" spans="1:17" x14ac:dyDescent="0.3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941</v>
      </c>
    </row>
    <row r="770" spans="1:17" x14ac:dyDescent="0.3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937</v>
      </c>
    </row>
    <row r="771" spans="1:17" x14ac:dyDescent="0.3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939</v>
      </c>
    </row>
    <row r="772" spans="1:17" x14ac:dyDescent="0.3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942</v>
      </c>
    </row>
    <row r="773" spans="1:17" x14ac:dyDescent="0.3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940</v>
      </c>
    </row>
    <row r="774" spans="1:17" x14ac:dyDescent="0.3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937</v>
      </c>
    </row>
    <row r="775" spans="1:17" x14ac:dyDescent="0.3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942</v>
      </c>
    </row>
    <row r="776" spans="1:17" x14ac:dyDescent="0.3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939</v>
      </c>
    </row>
    <row r="777" spans="1:17" x14ac:dyDescent="0.3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942</v>
      </c>
    </row>
    <row r="778" spans="1:17" x14ac:dyDescent="0.3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940</v>
      </c>
    </row>
    <row r="779" spans="1:17" x14ac:dyDescent="0.3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943</v>
      </c>
    </row>
    <row r="780" spans="1:17" x14ac:dyDescent="0.3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943</v>
      </c>
    </row>
    <row r="781" spans="1:17" x14ac:dyDescent="0.3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941</v>
      </c>
    </row>
    <row r="782" spans="1:17" x14ac:dyDescent="0.3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940</v>
      </c>
    </row>
    <row r="783" spans="1:17" x14ac:dyDescent="0.3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943</v>
      </c>
    </row>
    <row r="784" spans="1:17" x14ac:dyDescent="0.3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940</v>
      </c>
    </row>
    <row r="785" spans="1:17" x14ac:dyDescent="0.3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939</v>
      </c>
    </row>
    <row r="786" spans="1:17" x14ac:dyDescent="0.3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941</v>
      </c>
    </row>
    <row r="787" spans="1:17" x14ac:dyDescent="0.3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940</v>
      </c>
    </row>
    <row r="788" spans="1:17" x14ac:dyDescent="0.3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938</v>
      </c>
    </row>
    <row r="789" spans="1:17" x14ac:dyDescent="0.3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939</v>
      </c>
    </row>
    <row r="790" spans="1:17" x14ac:dyDescent="0.3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938</v>
      </c>
    </row>
    <row r="791" spans="1:17" x14ac:dyDescent="0.3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939</v>
      </c>
    </row>
    <row r="792" spans="1:17" x14ac:dyDescent="0.3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941</v>
      </c>
    </row>
    <row r="793" spans="1:17" x14ac:dyDescent="0.3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937</v>
      </c>
    </row>
    <row r="794" spans="1:17" x14ac:dyDescent="0.3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942</v>
      </c>
    </row>
    <row r="795" spans="1:17" x14ac:dyDescent="0.3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939</v>
      </c>
    </row>
    <row r="796" spans="1:17" x14ac:dyDescent="0.3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939</v>
      </c>
    </row>
    <row r="797" spans="1:17" x14ac:dyDescent="0.3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940</v>
      </c>
    </row>
    <row r="798" spans="1:17" x14ac:dyDescent="0.3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937</v>
      </c>
    </row>
    <row r="799" spans="1:17" x14ac:dyDescent="0.3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940</v>
      </c>
    </row>
    <row r="800" spans="1:17" x14ac:dyDescent="0.3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937</v>
      </c>
    </row>
    <row r="801" spans="1:17" x14ac:dyDescent="0.3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940</v>
      </c>
    </row>
    <row r="802" spans="1:17" x14ac:dyDescent="0.3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939</v>
      </c>
    </row>
    <row r="803" spans="1:17" x14ac:dyDescent="0.3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940</v>
      </c>
    </row>
    <row r="804" spans="1:17" x14ac:dyDescent="0.3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943</v>
      </c>
    </row>
    <row r="805" spans="1:17" x14ac:dyDescent="0.3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938</v>
      </c>
    </row>
    <row r="806" spans="1:17" x14ac:dyDescent="0.3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940</v>
      </c>
    </row>
    <row r="807" spans="1:17" x14ac:dyDescent="0.3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938</v>
      </c>
    </row>
    <row r="808" spans="1:17" x14ac:dyDescent="0.3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940</v>
      </c>
    </row>
    <row r="809" spans="1:17" x14ac:dyDescent="0.3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938</v>
      </c>
    </row>
    <row r="810" spans="1:17" x14ac:dyDescent="0.3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942</v>
      </c>
    </row>
    <row r="811" spans="1:17" x14ac:dyDescent="0.3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939</v>
      </c>
    </row>
    <row r="812" spans="1:17" x14ac:dyDescent="0.3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940</v>
      </c>
    </row>
    <row r="813" spans="1:17" x14ac:dyDescent="0.3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937</v>
      </c>
    </row>
    <row r="814" spans="1:17" x14ac:dyDescent="0.3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940</v>
      </c>
    </row>
    <row r="815" spans="1:17" x14ac:dyDescent="0.3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939</v>
      </c>
    </row>
    <row r="816" spans="1:17" x14ac:dyDescent="0.3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942</v>
      </c>
    </row>
    <row r="817" spans="1:17" x14ac:dyDescent="0.3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943</v>
      </c>
    </row>
    <row r="818" spans="1:17" x14ac:dyDescent="0.3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942</v>
      </c>
    </row>
    <row r="819" spans="1:17" x14ac:dyDescent="0.3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943</v>
      </c>
    </row>
    <row r="820" spans="1:17" x14ac:dyDescent="0.3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941</v>
      </c>
    </row>
    <row r="821" spans="1:17" x14ac:dyDescent="0.3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939</v>
      </c>
    </row>
    <row r="822" spans="1:17" x14ac:dyDescent="0.3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940</v>
      </c>
    </row>
    <row r="823" spans="1:17" x14ac:dyDescent="0.3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943</v>
      </c>
    </row>
    <row r="824" spans="1:17" x14ac:dyDescent="0.3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943</v>
      </c>
    </row>
    <row r="825" spans="1:17" x14ac:dyDescent="0.3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940</v>
      </c>
    </row>
    <row r="826" spans="1:17" x14ac:dyDescent="0.3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939</v>
      </c>
    </row>
    <row r="827" spans="1:17" x14ac:dyDescent="0.3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937</v>
      </c>
    </row>
    <row r="828" spans="1:17" x14ac:dyDescent="0.3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938</v>
      </c>
    </row>
    <row r="829" spans="1:17" x14ac:dyDescent="0.3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940</v>
      </c>
    </row>
    <row r="830" spans="1:17" x14ac:dyDescent="0.3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939</v>
      </c>
    </row>
    <row r="831" spans="1:17" x14ac:dyDescent="0.3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938</v>
      </c>
    </row>
    <row r="832" spans="1:17" x14ac:dyDescent="0.3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937</v>
      </c>
    </row>
    <row r="833" spans="1:17" x14ac:dyDescent="0.3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942</v>
      </c>
    </row>
    <row r="834" spans="1:17" x14ac:dyDescent="0.3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941</v>
      </c>
    </row>
    <row r="835" spans="1:17" x14ac:dyDescent="0.3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939</v>
      </c>
    </row>
    <row r="836" spans="1:17" x14ac:dyDescent="0.3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942</v>
      </c>
    </row>
    <row r="837" spans="1:17" x14ac:dyDescent="0.3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942</v>
      </c>
    </row>
    <row r="838" spans="1:17" x14ac:dyDescent="0.3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940</v>
      </c>
    </row>
    <row r="839" spans="1:17" x14ac:dyDescent="0.3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937</v>
      </c>
    </row>
    <row r="840" spans="1:17" x14ac:dyDescent="0.3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940</v>
      </c>
    </row>
    <row r="841" spans="1:17" x14ac:dyDescent="0.3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939</v>
      </c>
    </row>
    <row r="842" spans="1:17" x14ac:dyDescent="0.3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938</v>
      </c>
    </row>
    <row r="843" spans="1:17" x14ac:dyDescent="0.3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943</v>
      </c>
    </row>
    <row r="844" spans="1:17" x14ac:dyDescent="0.3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938</v>
      </c>
    </row>
    <row r="845" spans="1:17" x14ac:dyDescent="0.3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942</v>
      </c>
    </row>
    <row r="846" spans="1:17" x14ac:dyDescent="0.3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942</v>
      </c>
    </row>
    <row r="847" spans="1:17" x14ac:dyDescent="0.3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942</v>
      </c>
    </row>
    <row r="848" spans="1:17" x14ac:dyDescent="0.3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940</v>
      </c>
    </row>
    <row r="849" spans="1:17" x14ac:dyDescent="0.3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939</v>
      </c>
    </row>
    <row r="850" spans="1:17" x14ac:dyDescent="0.3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943</v>
      </c>
    </row>
    <row r="851" spans="1:17" x14ac:dyDescent="0.3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941</v>
      </c>
    </row>
    <row r="852" spans="1:17" x14ac:dyDescent="0.3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938</v>
      </c>
    </row>
    <row r="853" spans="1:17" x14ac:dyDescent="0.3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939</v>
      </c>
    </row>
    <row r="854" spans="1:17" x14ac:dyDescent="0.3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940</v>
      </c>
    </row>
    <row r="855" spans="1:17" x14ac:dyDescent="0.3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939</v>
      </c>
    </row>
    <row r="856" spans="1:17" x14ac:dyDescent="0.3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937</v>
      </c>
    </row>
    <row r="857" spans="1:17" x14ac:dyDescent="0.3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943</v>
      </c>
    </row>
    <row r="858" spans="1:17" x14ac:dyDescent="0.3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943</v>
      </c>
    </row>
    <row r="859" spans="1:17" x14ac:dyDescent="0.3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939</v>
      </c>
    </row>
    <row r="860" spans="1:17" x14ac:dyDescent="0.3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937</v>
      </c>
    </row>
    <row r="861" spans="1:17" x14ac:dyDescent="0.3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939</v>
      </c>
    </row>
    <row r="862" spans="1:17" x14ac:dyDescent="0.3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937</v>
      </c>
    </row>
    <row r="863" spans="1:17" x14ac:dyDescent="0.3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940</v>
      </c>
    </row>
    <row r="864" spans="1:17" x14ac:dyDescent="0.3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943</v>
      </c>
    </row>
    <row r="865" spans="1:17" x14ac:dyDescent="0.3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940</v>
      </c>
    </row>
    <row r="866" spans="1:17" x14ac:dyDescent="0.3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939</v>
      </c>
    </row>
    <row r="867" spans="1:17" x14ac:dyDescent="0.3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939</v>
      </c>
    </row>
    <row r="868" spans="1:17" x14ac:dyDescent="0.3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943</v>
      </c>
    </row>
    <row r="869" spans="1:17" x14ac:dyDescent="0.3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941</v>
      </c>
    </row>
    <row r="870" spans="1:17" x14ac:dyDescent="0.3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943</v>
      </c>
    </row>
    <row r="871" spans="1:17" x14ac:dyDescent="0.3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939</v>
      </c>
    </row>
    <row r="872" spans="1:17" x14ac:dyDescent="0.3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939</v>
      </c>
    </row>
    <row r="873" spans="1:17" x14ac:dyDescent="0.3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943</v>
      </c>
    </row>
    <row r="874" spans="1:17" x14ac:dyDescent="0.3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939</v>
      </c>
    </row>
    <row r="875" spans="1:17" x14ac:dyDescent="0.3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941</v>
      </c>
    </row>
    <row r="876" spans="1:17" x14ac:dyDescent="0.3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938</v>
      </c>
    </row>
    <row r="877" spans="1:17" x14ac:dyDescent="0.3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941</v>
      </c>
    </row>
    <row r="878" spans="1:17" x14ac:dyDescent="0.3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939</v>
      </c>
    </row>
    <row r="879" spans="1:17" x14ac:dyDescent="0.3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938</v>
      </c>
    </row>
    <row r="880" spans="1:17" x14ac:dyDescent="0.3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942</v>
      </c>
    </row>
    <row r="881" spans="1:17" x14ac:dyDescent="0.3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943</v>
      </c>
    </row>
    <row r="882" spans="1:17" x14ac:dyDescent="0.3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941</v>
      </c>
    </row>
    <row r="883" spans="1:17" x14ac:dyDescent="0.3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941</v>
      </c>
    </row>
    <row r="884" spans="1:17" x14ac:dyDescent="0.3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939</v>
      </c>
    </row>
    <row r="885" spans="1:17" x14ac:dyDescent="0.3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942</v>
      </c>
    </row>
    <row r="886" spans="1:17" x14ac:dyDescent="0.3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941</v>
      </c>
    </row>
    <row r="887" spans="1:17" x14ac:dyDescent="0.3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942</v>
      </c>
    </row>
    <row r="888" spans="1:17" x14ac:dyDescent="0.3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943</v>
      </c>
    </row>
    <row r="889" spans="1:17" x14ac:dyDescent="0.3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940</v>
      </c>
    </row>
    <row r="890" spans="1:17" x14ac:dyDescent="0.3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942</v>
      </c>
    </row>
    <row r="891" spans="1:17" x14ac:dyDescent="0.3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940</v>
      </c>
    </row>
    <row r="892" spans="1:17" x14ac:dyDescent="0.3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942</v>
      </c>
    </row>
    <row r="893" spans="1:17" x14ac:dyDescent="0.3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938</v>
      </c>
    </row>
    <row r="894" spans="1:17" x14ac:dyDescent="0.3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940</v>
      </c>
    </row>
    <row r="895" spans="1:17" x14ac:dyDescent="0.3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937</v>
      </c>
    </row>
    <row r="896" spans="1:17" x14ac:dyDescent="0.3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940</v>
      </c>
    </row>
    <row r="897" spans="1:17" x14ac:dyDescent="0.3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943</v>
      </c>
    </row>
    <row r="898" spans="1:17" x14ac:dyDescent="0.3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938</v>
      </c>
    </row>
    <row r="899" spans="1:17" x14ac:dyDescent="0.3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942</v>
      </c>
    </row>
    <row r="900" spans="1:17" x14ac:dyDescent="0.3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937</v>
      </c>
    </row>
    <row r="901" spans="1:17" x14ac:dyDescent="0.3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942</v>
      </c>
    </row>
    <row r="902" spans="1:17" x14ac:dyDescent="0.3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941</v>
      </c>
    </row>
    <row r="903" spans="1:17" x14ac:dyDescent="0.3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942</v>
      </c>
    </row>
    <row r="904" spans="1:17" x14ac:dyDescent="0.3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938</v>
      </c>
    </row>
    <row r="905" spans="1:17" x14ac:dyDescent="0.3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943</v>
      </c>
    </row>
    <row r="906" spans="1:17" x14ac:dyDescent="0.3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940</v>
      </c>
    </row>
    <row r="907" spans="1:17" x14ac:dyDescent="0.3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941</v>
      </c>
    </row>
    <row r="908" spans="1:17" x14ac:dyDescent="0.3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938</v>
      </c>
    </row>
    <row r="909" spans="1:17" x14ac:dyDescent="0.3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943</v>
      </c>
    </row>
    <row r="910" spans="1:17" x14ac:dyDescent="0.3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939</v>
      </c>
    </row>
    <row r="911" spans="1:17" x14ac:dyDescent="0.3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937</v>
      </c>
    </row>
    <row r="912" spans="1:17" x14ac:dyDescent="0.3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937</v>
      </c>
    </row>
    <row r="913" spans="1:17" x14ac:dyDescent="0.3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943</v>
      </c>
    </row>
    <row r="914" spans="1:17" x14ac:dyDescent="0.3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939</v>
      </c>
    </row>
    <row r="915" spans="1:17" x14ac:dyDescent="0.3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938</v>
      </c>
    </row>
    <row r="916" spans="1:17" x14ac:dyDescent="0.3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938</v>
      </c>
    </row>
    <row r="917" spans="1:17" x14ac:dyDescent="0.3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943</v>
      </c>
    </row>
    <row r="918" spans="1:17" x14ac:dyDescent="0.3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942</v>
      </c>
    </row>
    <row r="919" spans="1:17" x14ac:dyDescent="0.3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942</v>
      </c>
    </row>
    <row r="920" spans="1:17" x14ac:dyDescent="0.3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940</v>
      </c>
    </row>
    <row r="921" spans="1:17" x14ac:dyDescent="0.3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941</v>
      </c>
    </row>
    <row r="922" spans="1:17" x14ac:dyDescent="0.3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941</v>
      </c>
    </row>
    <row r="923" spans="1:17" x14ac:dyDescent="0.3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941</v>
      </c>
    </row>
    <row r="924" spans="1:17" x14ac:dyDescent="0.3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942</v>
      </c>
    </row>
    <row r="925" spans="1:17" x14ac:dyDescent="0.3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943</v>
      </c>
    </row>
    <row r="926" spans="1:17" x14ac:dyDescent="0.3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937</v>
      </c>
    </row>
    <row r="927" spans="1:17" x14ac:dyDescent="0.3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939</v>
      </c>
    </row>
    <row r="928" spans="1:17" x14ac:dyDescent="0.3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939</v>
      </c>
    </row>
    <row r="929" spans="1:17" x14ac:dyDescent="0.3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940</v>
      </c>
    </row>
    <row r="930" spans="1:17" x14ac:dyDescent="0.3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937</v>
      </c>
    </row>
    <row r="931" spans="1:17" x14ac:dyDescent="0.3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937</v>
      </c>
    </row>
    <row r="932" spans="1:17" x14ac:dyDescent="0.3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939</v>
      </c>
    </row>
    <row r="933" spans="1:17" x14ac:dyDescent="0.3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939</v>
      </c>
    </row>
    <row r="934" spans="1:17" x14ac:dyDescent="0.3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942</v>
      </c>
    </row>
    <row r="935" spans="1:17" x14ac:dyDescent="0.3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938</v>
      </c>
    </row>
    <row r="936" spans="1:17" x14ac:dyDescent="0.3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938</v>
      </c>
    </row>
    <row r="937" spans="1:17" x14ac:dyDescent="0.3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938</v>
      </c>
    </row>
    <row r="938" spans="1:17" x14ac:dyDescent="0.3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939</v>
      </c>
    </row>
    <row r="939" spans="1:17" x14ac:dyDescent="0.3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940</v>
      </c>
    </row>
    <row r="940" spans="1:17" x14ac:dyDescent="0.3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937</v>
      </c>
    </row>
    <row r="941" spans="1:17" x14ac:dyDescent="0.3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941</v>
      </c>
    </row>
    <row r="942" spans="1:17" x14ac:dyDescent="0.3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937</v>
      </c>
    </row>
    <row r="943" spans="1:17" x14ac:dyDescent="0.3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943</v>
      </c>
    </row>
    <row r="944" spans="1:17" x14ac:dyDescent="0.3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939</v>
      </c>
    </row>
    <row r="945" spans="1:17" x14ac:dyDescent="0.3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941</v>
      </c>
    </row>
    <row r="946" spans="1:17" x14ac:dyDescent="0.3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939</v>
      </c>
    </row>
    <row r="947" spans="1:17" x14ac:dyDescent="0.3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942</v>
      </c>
    </row>
    <row r="948" spans="1:17" x14ac:dyDescent="0.3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937</v>
      </c>
    </row>
    <row r="949" spans="1:17" x14ac:dyDescent="0.3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943</v>
      </c>
    </row>
    <row r="950" spans="1:17" x14ac:dyDescent="0.3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939</v>
      </c>
    </row>
    <row r="951" spans="1:17" x14ac:dyDescent="0.3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938</v>
      </c>
    </row>
    <row r="952" spans="1:17" x14ac:dyDescent="0.3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943</v>
      </c>
    </row>
    <row r="953" spans="1:17" x14ac:dyDescent="0.3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943</v>
      </c>
    </row>
    <row r="954" spans="1:17" x14ac:dyDescent="0.3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937</v>
      </c>
    </row>
    <row r="955" spans="1:17" x14ac:dyDescent="0.3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940</v>
      </c>
    </row>
    <row r="956" spans="1:17" x14ac:dyDescent="0.3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937</v>
      </c>
    </row>
    <row r="957" spans="1:17" x14ac:dyDescent="0.3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937</v>
      </c>
    </row>
    <row r="958" spans="1:17" x14ac:dyDescent="0.3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938</v>
      </c>
    </row>
    <row r="959" spans="1:17" x14ac:dyDescent="0.3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941</v>
      </c>
    </row>
    <row r="960" spans="1:17" x14ac:dyDescent="0.3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940</v>
      </c>
    </row>
    <row r="961" spans="1:17" x14ac:dyDescent="0.3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943</v>
      </c>
    </row>
    <row r="962" spans="1:17" x14ac:dyDescent="0.3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941</v>
      </c>
    </row>
    <row r="963" spans="1:17" x14ac:dyDescent="0.3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941</v>
      </c>
    </row>
    <row r="964" spans="1:17" x14ac:dyDescent="0.3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941</v>
      </c>
    </row>
    <row r="965" spans="1:17" x14ac:dyDescent="0.3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941</v>
      </c>
    </row>
    <row r="966" spans="1:17" x14ac:dyDescent="0.3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938</v>
      </c>
    </row>
    <row r="967" spans="1:17" x14ac:dyDescent="0.3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938</v>
      </c>
    </row>
    <row r="968" spans="1:17" x14ac:dyDescent="0.3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939</v>
      </c>
    </row>
    <row r="969" spans="1:17" x14ac:dyDescent="0.3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939</v>
      </c>
    </row>
    <row r="970" spans="1:17" x14ac:dyDescent="0.3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940</v>
      </c>
    </row>
    <row r="971" spans="1:17" x14ac:dyDescent="0.3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942</v>
      </c>
    </row>
    <row r="972" spans="1:17" x14ac:dyDescent="0.3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939</v>
      </c>
    </row>
    <row r="973" spans="1:17" x14ac:dyDescent="0.3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937</v>
      </c>
    </row>
    <row r="974" spans="1:17" x14ac:dyDescent="0.3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939</v>
      </c>
    </row>
    <row r="975" spans="1:17" x14ac:dyDescent="0.3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942</v>
      </c>
    </row>
    <row r="976" spans="1:17" x14ac:dyDescent="0.3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943</v>
      </c>
    </row>
    <row r="977" spans="1:17" x14ac:dyDescent="0.3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938</v>
      </c>
    </row>
    <row r="978" spans="1:17" x14ac:dyDescent="0.3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939</v>
      </c>
    </row>
    <row r="979" spans="1:17" x14ac:dyDescent="0.3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939</v>
      </c>
    </row>
    <row r="980" spans="1:17" x14ac:dyDescent="0.3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941</v>
      </c>
    </row>
    <row r="981" spans="1:17" x14ac:dyDescent="0.3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940</v>
      </c>
    </row>
    <row r="982" spans="1:17" x14ac:dyDescent="0.3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937</v>
      </c>
    </row>
    <row r="983" spans="1:17" x14ac:dyDescent="0.3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938</v>
      </c>
    </row>
    <row r="984" spans="1:17" x14ac:dyDescent="0.3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938</v>
      </c>
    </row>
    <row r="985" spans="1:17" x14ac:dyDescent="0.3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940</v>
      </c>
    </row>
    <row r="986" spans="1:17" x14ac:dyDescent="0.3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942</v>
      </c>
    </row>
    <row r="987" spans="1:17" x14ac:dyDescent="0.3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941</v>
      </c>
    </row>
    <row r="988" spans="1:17" x14ac:dyDescent="0.3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943</v>
      </c>
    </row>
    <row r="989" spans="1:17" x14ac:dyDescent="0.3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937</v>
      </c>
    </row>
    <row r="990" spans="1:17" x14ac:dyDescent="0.3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937</v>
      </c>
    </row>
    <row r="991" spans="1:17" x14ac:dyDescent="0.3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940</v>
      </c>
    </row>
    <row r="992" spans="1:17" x14ac:dyDescent="0.3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939</v>
      </c>
    </row>
    <row r="993" spans="1:17" x14ac:dyDescent="0.3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943</v>
      </c>
    </row>
    <row r="994" spans="1:17" x14ac:dyDescent="0.3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939</v>
      </c>
    </row>
    <row r="995" spans="1:17" x14ac:dyDescent="0.3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943</v>
      </c>
    </row>
    <row r="996" spans="1:17" x14ac:dyDescent="0.3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940</v>
      </c>
    </row>
    <row r="997" spans="1:17" x14ac:dyDescent="0.3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939</v>
      </c>
    </row>
    <row r="998" spans="1:17" x14ac:dyDescent="0.3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943</v>
      </c>
    </row>
    <row r="999" spans="1:17" x14ac:dyDescent="0.3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940</v>
      </c>
    </row>
    <row r="1000" spans="1:17" x14ac:dyDescent="0.3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940</v>
      </c>
    </row>
    <row r="1001" spans="1:17"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937</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3FA1D-7749-4532-81FA-74E7CCB5B00B}">
  <dimension ref="A1:E71"/>
  <sheetViews>
    <sheetView workbookViewId="0">
      <selection sqref="A1:E71"/>
    </sheetView>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14.26953125" bestFit="1" customWidth="1"/>
  </cols>
  <sheetData>
    <row r="1" spans="1:5" x14ac:dyDescent="0.35">
      <c r="A1" t="s">
        <v>606</v>
      </c>
      <c r="B1" t="s">
        <v>856</v>
      </c>
      <c r="C1" t="s">
        <v>857</v>
      </c>
      <c r="D1" t="s">
        <v>858</v>
      </c>
      <c r="E1" t="s">
        <v>613</v>
      </c>
    </row>
    <row r="2" spans="1:5" x14ac:dyDescent="0.35">
      <c r="A2">
        <v>1</v>
      </c>
      <c r="B2" t="s">
        <v>859</v>
      </c>
      <c r="C2" t="s">
        <v>860</v>
      </c>
      <c r="D2">
        <v>1935</v>
      </c>
      <c r="E2" t="s">
        <v>699</v>
      </c>
    </row>
    <row r="3" spans="1:5" x14ac:dyDescent="0.35">
      <c r="A3">
        <v>2</v>
      </c>
      <c r="B3" t="s">
        <v>861</v>
      </c>
      <c r="C3" t="s">
        <v>862</v>
      </c>
      <c r="D3">
        <v>441</v>
      </c>
      <c r="E3" t="s">
        <v>620</v>
      </c>
    </row>
    <row r="4" spans="1:5" x14ac:dyDescent="0.35">
      <c r="A4">
        <v>3</v>
      </c>
      <c r="B4" t="s">
        <v>863</v>
      </c>
      <c r="C4" t="s">
        <v>864</v>
      </c>
      <c r="D4">
        <v>1534</v>
      </c>
      <c r="E4" t="s">
        <v>620</v>
      </c>
    </row>
    <row r="5" spans="1:5" x14ac:dyDescent="0.35">
      <c r="A5">
        <v>4</v>
      </c>
      <c r="B5" t="s">
        <v>865</v>
      </c>
      <c r="C5" t="s">
        <v>866</v>
      </c>
      <c r="D5">
        <v>1199</v>
      </c>
      <c r="E5" t="s">
        <v>829</v>
      </c>
    </row>
    <row r="6" spans="1:5" x14ac:dyDescent="0.35">
      <c r="A6">
        <v>5</v>
      </c>
      <c r="B6" t="s">
        <v>867</v>
      </c>
      <c r="C6" t="s">
        <v>864</v>
      </c>
      <c r="D6">
        <v>1444</v>
      </c>
      <c r="E6" t="s">
        <v>699</v>
      </c>
    </row>
    <row r="7" spans="1:5" x14ac:dyDescent="0.35">
      <c r="A7">
        <v>6</v>
      </c>
      <c r="B7" t="s">
        <v>868</v>
      </c>
      <c r="C7" t="s">
        <v>869</v>
      </c>
      <c r="D7">
        <v>1112</v>
      </c>
      <c r="E7" t="s">
        <v>701</v>
      </c>
    </row>
    <row r="8" spans="1:5" x14ac:dyDescent="0.35">
      <c r="A8">
        <v>7</v>
      </c>
      <c r="B8" t="s">
        <v>870</v>
      </c>
      <c r="C8" t="s">
        <v>860</v>
      </c>
      <c r="D8">
        <v>409</v>
      </c>
      <c r="E8" t="s">
        <v>701</v>
      </c>
    </row>
    <row r="9" spans="1:5" x14ac:dyDescent="0.35">
      <c r="A9">
        <v>8</v>
      </c>
      <c r="B9" t="s">
        <v>871</v>
      </c>
      <c r="C9" t="s">
        <v>866</v>
      </c>
      <c r="D9">
        <v>252</v>
      </c>
      <c r="E9" t="s">
        <v>698</v>
      </c>
    </row>
    <row r="10" spans="1:5" x14ac:dyDescent="0.35">
      <c r="A10">
        <v>9</v>
      </c>
      <c r="B10" t="s">
        <v>872</v>
      </c>
      <c r="C10" t="s">
        <v>864</v>
      </c>
      <c r="D10">
        <v>1605</v>
      </c>
      <c r="E10" t="s">
        <v>794</v>
      </c>
    </row>
    <row r="11" spans="1:5" x14ac:dyDescent="0.35">
      <c r="A11">
        <v>10</v>
      </c>
      <c r="B11" t="s">
        <v>873</v>
      </c>
      <c r="C11" t="s">
        <v>869</v>
      </c>
      <c r="D11">
        <v>259</v>
      </c>
      <c r="E11" t="s">
        <v>707</v>
      </c>
    </row>
    <row r="12" spans="1:5" x14ac:dyDescent="0.35">
      <c r="A12">
        <v>11</v>
      </c>
      <c r="B12" t="s">
        <v>874</v>
      </c>
      <c r="C12" t="s">
        <v>875</v>
      </c>
      <c r="D12">
        <v>1096</v>
      </c>
      <c r="E12" t="s">
        <v>620</v>
      </c>
    </row>
    <row r="13" spans="1:5" x14ac:dyDescent="0.35">
      <c r="A13">
        <v>12</v>
      </c>
      <c r="B13" t="s">
        <v>876</v>
      </c>
      <c r="C13" t="s">
        <v>862</v>
      </c>
      <c r="D13">
        <v>672</v>
      </c>
      <c r="E13" t="s">
        <v>698</v>
      </c>
    </row>
    <row r="14" spans="1:5" x14ac:dyDescent="0.35">
      <c r="A14">
        <v>13</v>
      </c>
      <c r="B14" t="s">
        <v>877</v>
      </c>
      <c r="C14" t="s">
        <v>875</v>
      </c>
      <c r="D14">
        <v>1141</v>
      </c>
      <c r="E14" t="s">
        <v>701</v>
      </c>
    </row>
    <row r="15" spans="1:5" x14ac:dyDescent="0.35">
      <c r="A15">
        <v>14</v>
      </c>
      <c r="B15" t="s">
        <v>878</v>
      </c>
      <c r="C15" t="s">
        <v>864</v>
      </c>
      <c r="D15">
        <v>1915</v>
      </c>
      <c r="E15" t="s">
        <v>707</v>
      </c>
    </row>
    <row r="16" spans="1:5" x14ac:dyDescent="0.35">
      <c r="A16">
        <v>15</v>
      </c>
      <c r="B16" t="s">
        <v>879</v>
      </c>
      <c r="C16" t="s">
        <v>794</v>
      </c>
      <c r="D16">
        <v>1488</v>
      </c>
      <c r="E16" t="s">
        <v>698</v>
      </c>
    </row>
    <row r="17" spans="1:5" x14ac:dyDescent="0.35">
      <c r="A17">
        <v>16</v>
      </c>
      <c r="B17" t="s">
        <v>880</v>
      </c>
      <c r="C17" t="s">
        <v>866</v>
      </c>
      <c r="D17">
        <v>1721</v>
      </c>
      <c r="E17" t="s">
        <v>701</v>
      </c>
    </row>
    <row r="18" spans="1:5" x14ac:dyDescent="0.35">
      <c r="A18">
        <v>17</v>
      </c>
      <c r="B18" t="s">
        <v>881</v>
      </c>
      <c r="C18" t="s">
        <v>860</v>
      </c>
      <c r="D18">
        <v>1899</v>
      </c>
      <c r="E18" t="s">
        <v>698</v>
      </c>
    </row>
    <row r="19" spans="1:5" x14ac:dyDescent="0.35">
      <c r="A19">
        <v>18</v>
      </c>
      <c r="B19" t="s">
        <v>882</v>
      </c>
      <c r="C19" t="s">
        <v>862</v>
      </c>
      <c r="D19">
        <v>781</v>
      </c>
      <c r="E19" t="s">
        <v>707</v>
      </c>
    </row>
    <row r="20" spans="1:5" x14ac:dyDescent="0.35">
      <c r="A20">
        <v>19</v>
      </c>
      <c r="B20" t="s">
        <v>883</v>
      </c>
      <c r="C20" t="s">
        <v>875</v>
      </c>
      <c r="D20">
        <v>1234</v>
      </c>
      <c r="E20" t="s">
        <v>620</v>
      </c>
    </row>
    <row r="21" spans="1:5" x14ac:dyDescent="0.35">
      <c r="A21">
        <v>20</v>
      </c>
      <c r="B21" t="s">
        <v>884</v>
      </c>
      <c r="C21" t="s">
        <v>864</v>
      </c>
      <c r="D21">
        <v>697</v>
      </c>
      <c r="E21" t="s">
        <v>698</v>
      </c>
    </row>
    <row r="22" spans="1:5" x14ac:dyDescent="0.35">
      <c r="A22">
        <v>21</v>
      </c>
      <c r="B22" t="s">
        <v>885</v>
      </c>
      <c r="C22" t="s">
        <v>864</v>
      </c>
      <c r="D22">
        <v>1561</v>
      </c>
      <c r="E22" t="s">
        <v>794</v>
      </c>
    </row>
    <row r="23" spans="1:5" x14ac:dyDescent="0.35">
      <c r="A23">
        <v>22</v>
      </c>
      <c r="B23" t="s">
        <v>886</v>
      </c>
      <c r="C23" t="s">
        <v>860</v>
      </c>
      <c r="D23">
        <v>1639</v>
      </c>
      <c r="E23" t="s">
        <v>699</v>
      </c>
    </row>
    <row r="24" spans="1:5" x14ac:dyDescent="0.35">
      <c r="A24">
        <v>23</v>
      </c>
      <c r="B24" t="s">
        <v>887</v>
      </c>
      <c r="C24" t="s">
        <v>866</v>
      </c>
      <c r="D24">
        <v>1098</v>
      </c>
      <c r="E24" t="s">
        <v>698</v>
      </c>
    </row>
    <row r="25" spans="1:5" x14ac:dyDescent="0.35">
      <c r="A25">
        <v>24</v>
      </c>
      <c r="B25" t="s">
        <v>888</v>
      </c>
      <c r="C25" t="s">
        <v>875</v>
      </c>
      <c r="D25">
        <v>535</v>
      </c>
      <c r="E25" t="s">
        <v>707</v>
      </c>
    </row>
    <row r="26" spans="1:5" x14ac:dyDescent="0.35">
      <c r="A26">
        <v>25</v>
      </c>
      <c r="B26" t="s">
        <v>889</v>
      </c>
      <c r="C26" t="s">
        <v>862</v>
      </c>
      <c r="D26">
        <v>1202</v>
      </c>
      <c r="E26" t="s">
        <v>698</v>
      </c>
    </row>
    <row r="27" spans="1:5" x14ac:dyDescent="0.35">
      <c r="A27">
        <v>26</v>
      </c>
      <c r="B27" t="s">
        <v>890</v>
      </c>
      <c r="C27" t="s">
        <v>864</v>
      </c>
      <c r="D27">
        <v>289</v>
      </c>
      <c r="E27" t="s">
        <v>701</v>
      </c>
    </row>
    <row r="28" spans="1:5" x14ac:dyDescent="0.35">
      <c r="A28">
        <v>27</v>
      </c>
      <c r="B28" t="s">
        <v>891</v>
      </c>
      <c r="C28" t="s">
        <v>869</v>
      </c>
      <c r="D28">
        <v>548</v>
      </c>
      <c r="E28" t="s">
        <v>794</v>
      </c>
    </row>
    <row r="29" spans="1:5" x14ac:dyDescent="0.35">
      <c r="A29">
        <v>28</v>
      </c>
      <c r="B29" t="s">
        <v>892</v>
      </c>
      <c r="C29" t="s">
        <v>866</v>
      </c>
      <c r="D29">
        <v>1778</v>
      </c>
      <c r="E29" t="s">
        <v>794</v>
      </c>
    </row>
    <row r="30" spans="1:5" x14ac:dyDescent="0.35">
      <c r="A30">
        <v>29</v>
      </c>
      <c r="B30" t="s">
        <v>893</v>
      </c>
      <c r="C30" t="s">
        <v>864</v>
      </c>
      <c r="D30">
        <v>1252</v>
      </c>
      <c r="E30" t="s">
        <v>701</v>
      </c>
    </row>
    <row r="31" spans="1:5" x14ac:dyDescent="0.35">
      <c r="A31">
        <v>30</v>
      </c>
      <c r="B31" t="s">
        <v>894</v>
      </c>
      <c r="C31" t="s">
        <v>864</v>
      </c>
      <c r="D31">
        <v>751</v>
      </c>
      <c r="E31" t="s">
        <v>698</v>
      </c>
    </row>
    <row r="32" spans="1:5" x14ac:dyDescent="0.35">
      <c r="A32">
        <v>31</v>
      </c>
      <c r="B32" t="s">
        <v>895</v>
      </c>
      <c r="C32" t="s">
        <v>864</v>
      </c>
      <c r="D32">
        <v>1804</v>
      </c>
      <c r="E32" t="s">
        <v>699</v>
      </c>
    </row>
    <row r="33" spans="1:5" x14ac:dyDescent="0.35">
      <c r="A33">
        <v>32</v>
      </c>
      <c r="B33" t="s">
        <v>896</v>
      </c>
      <c r="C33" t="s">
        <v>860</v>
      </c>
      <c r="D33">
        <v>1792</v>
      </c>
      <c r="E33" t="s">
        <v>707</v>
      </c>
    </row>
    <row r="34" spans="1:5" x14ac:dyDescent="0.35">
      <c r="A34">
        <v>33</v>
      </c>
      <c r="B34" t="s">
        <v>897</v>
      </c>
      <c r="C34" t="s">
        <v>864</v>
      </c>
      <c r="D34">
        <v>314</v>
      </c>
      <c r="E34" t="s">
        <v>620</v>
      </c>
    </row>
    <row r="35" spans="1:5" x14ac:dyDescent="0.35">
      <c r="A35">
        <v>34</v>
      </c>
      <c r="B35" t="s">
        <v>898</v>
      </c>
      <c r="C35" t="s">
        <v>860</v>
      </c>
      <c r="D35">
        <v>1335</v>
      </c>
      <c r="E35" t="s">
        <v>794</v>
      </c>
    </row>
    <row r="36" spans="1:5" x14ac:dyDescent="0.35">
      <c r="A36">
        <v>35</v>
      </c>
      <c r="B36" t="s">
        <v>899</v>
      </c>
      <c r="C36" t="s">
        <v>864</v>
      </c>
      <c r="D36">
        <v>1865</v>
      </c>
      <c r="E36" t="s">
        <v>701</v>
      </c>
    </row>
    <row r="37" spans="1:5" x14ac:dyDescent="0.35">
      <c r="A37">
        <v>36</v>
      </c>
      <c r="B37" t="s">
        <v>900</v>
      </c>
      <c r="C37" t="s">
        <v>862</v>
      </c>
      <c r="D37">
        <v>203</v>
      </c>
      <c r="E37" t="s">
        <v>707</v>
      </c>
    </row>
    <row r="38" spans="1:5" x14ac:dyDescent="0.35">
      <c r="A38">
        <v>37</v>
      </c>
      <c r="B38" t="s">
        <v>901</v>
      </c>
      <c r="C38" t="s">
        <v>864</v>
      </c>
      <c r="D38">
        <v>1428</v>
      </c>
      <c r="E38" t="s">
        <v>829</v>
      </c>
    </row>
    <row r="39" spans="1:5" x14ac:dyDescent="0.35">
      <c r="A39">
        <v>38</v>
      </c>
      <c r="B39" t="s">
        <v>902</v>
      </c>
      <c r="C39" t="s">
        <v>869</v>
      </c>
      <c r="D39">
        <v>562</v>
      </c>
      <c r="E39" t="s">
        <v>707</v>
      </c>
    </row>
    <row r="40" spans="1:5" x14ac:dyDescent="0.35">
      <c r="A40">
        <v>39</v>
      </c>
      <c r="B40" t="s">
        <v>903</v>
      </c>
      <c r="C40" t="s">
        <v>875</v>
      </c>
      <c r="D40">
        <v>387</v>
      </c>
      <c r="E40" t="s">
        <v>699</v>
      </c>
    </row>
    <row r="41" spans="1:5" x14ac:dyDescent="0.35">
      <c r="A41">
        <v>40</v>
      </c>
      <c r="B41" t="s">
        <v>904</v>
      </c>
      <c r="C41" t="s">
        <v>866</v>
      </c>
      <c r="D41">
        <v>1923</v>
      </c>
      <c r="E41" t="s">
        <v>698</v>
      </c>
    </row>
    <row r="42" spans="1:5" x14ac:dyDescent="0.35">
      <c r="A42">
        <v>41</v>
      </c>
      <c r="B42" t="s">
        <v>905</v>
      </c>
      <c r="C42" t="s">
        <v>866</v>
      </c>
      <c r="D42">
        <v>1977</v>
      </c>
      <c r="E42" t="s">
        <v>829</v>
      </c>
    </row>
    <row r="43" spans="1:5" x14ac:dyDescent="0.35">
      <c r="A43">
        <v>42</v>
      </c>
      <c r="B43" t="s">
        <v>906</v>
      </c>
      <c r="C43" t="s">
        <v>866</v>
      </c>
      <c r="D43">
        <v>1744</v>
      </c>
      <c r="E43" t="s">
        <v>699</v>
      </c>
    </row>
    <row r="44" spans="1:5" x14ac:dyDescent="0.35">
      <c r="A44">
        <v>43</v>
      </c>
      <c r="B44" t="s">
        <v>907</v>
      </c>
      <c r="C44" t="s">
        <v>794</v>
      </c>
      <c r="D44">
        <v>750</v>
      </c>
      <c r="E44" t="s">
        <v>829</v>
      </c>
    </row>
    <row r="45" spans="1:5" x14ac:dyDescent="0.35">
      <c r="A45">
        <v>44</v>
      </c>
      <c r="B45" t="s">
        <v>908</v>
      </c>
      <c r="C45" t="s">
        <v>862</v>
      </c>
      <c r="D45">
        <v>794</v>
      </c>
      <c r="E45" t="s">
        <v>829</v>
      </c>
    </row>
    <row r="46" spans="1:5" x14ac:dyDescent="0.35">
      <c r="A46">
        <v>45</v>
      </c>
      <c r="B46" t="s">
        <v>909</v>
      </c>
      <c r="C46" t="s">
        <v>794</v>
      </c>
      <c r="D46">
        <v>722</v>
      </c>
      <c r="E46" t="s">
        <v>707</v>
      </c>
    </row>
    <row r="47" spans="1:5" x14ac:dyDescent="0.35">
      <c r="A47">
        <v>46</v>
      </c>
      <c r="B47" t="s">
        <v>910</v>
      </c>
      <c r="C47" t="s">
        <v>869</v>
      </c>
      <c r="D47">
        <v>758</v>
      </c>
      <c r="E47" t="s">
        <v>698</v>
      </c>
    </row>
    <row r="48" spans="1:5" x14ac:dyDescent="0.35">
      <c r="A48">
        <v>47</v>
      </c>
      <c r="B48" t="s">
        <v>911</v>
      </c>
      <c r="C48" t="s">
        <v>864</v>
      </c>
      <c r="D48">
        <v>1638</v>
      </c>
      <c r="E48" t="s">
        <v>701</v>
      </c>
    </row>
    <row r="49" spans="1:5" x14ac:dyDescent="0.35">
      <c r="A49">
        <v>48</v>
      </c>
      <c r="B49" t="s">
        <v>912</v>
      </c>
      <c r="C49" t="s">
        <v>864</v>
      </c>
      <c r="D49">
        <v>433</v>
      </c>
      <c r="E49" t="s">
        <v>829</v>
      </c>
    </row>
    <row r="50" spans="1:5" x14ac:dyDescent="0.35">
      <c r="A50">
        <v>49</v>
      </c>
      <c r="B50" t="s">
        <v>913</v>
      </c>
      <c r="C50" t="s">
        <v>864</v>
      </c>
      <c r="D50">
        <v>903</v>
      </c>
      <c r="E50" t="s">
        <v>620</v>
      </c>
    </row>
    <row r="51" spans="1:5" x14ac:dyDescent="0.35">
      <c r="A51">
        <v>50</v>
      </c>
      <c r="B51" t="s">
        <v>914</v>
      </c>
      <c r="C51" t="s">
        <v>862</v>
      </c>
      <c r="D51">
        <v>422</v>
      </c>
      <c r="E51" t="s">
        <v>701</v>
      </c>
    </row>
    <row r="52" spans="1:5" x14ac:dyDescent="0.35">
      <c r="A52">
        <v>51</v>
      </c>
      <c r="B52" t="s">
        <v>915</v>
      </c>
      <c r="C52" t="s">
        <v>860</v>
      </c>
      <c r="D52">
        <v>1084</v>
      </c>
      <c r="E52" t="s">
        <v>699</v>
      </c>
    </row>
    <row r="53" spans="1:5" x14ac:dyDescent="0.35">
      <c r="A53">
        <v>52</v>
      </c>
      <c r="B53" t="s">
        <v>916</v>
      </c>
      <c r="C53" t="s">
        <v>794</v>
      </c>
      <c r="D53">
        <v>236</v>
      </c>
      <c r="E53" t="s">
        <v>620</v>
      </c>
    </row>
    <row r="54" spans="1:5" x14ac:dyDescent="0.35">
      <c r="A54">
        <v>53</v>
      </c>
      <c r="B54" t="s">
        <v>917</v>
      </c>
      <c r="C54" t="s">
        <v>866</v>
      </c>
      <c r="D54">
        <v>1672</v>
      </c>
      <c r="E54" t="s">
        <v>794</v>
      </c>
    </row>
    <row r="55" spans="1:5" x14ac:dyDescent="0.35">
      <c r="A55">
        <v>54</v>
      </c>
      <c r="B55" t="s">
        <v>918</v>
      </c>
      <c r="C55" t="s">
        <v>869</v>
      </c>
      <c r="D55">
        <v>1236</v>
      </c>
      <c r="E55" t="s">
        <v>698</v>
      </c>
    </row>
    <row r="56" spans="1:5" x14ac:dyDescent="0.35">
      <c r="A56">
        <v>55</v>
      </c>
      <c r="B56" t="s">
        <v>919</v>
      </c>
      <c r="C56" t="s">
        <v>860</v>
      </c>
      <c r="D56">
        <v>1904</v>
      </c>
      <c r="E56" t="s">
        <v>794</v>
      </c>
    </row>
    <row r="57" spans="1:5" x14ac:dyDescent="0.35">
      <c r="A57">
        <v>56</v>
      </c>
      <c r="B57" t="s">
        <v>885</v>
      </c>
      <c r="C57" t="s">
        <v>794</v>
      </c>
      <c r="D57">
        <v>1272</v>
      </c>
      <c r="E57" t="s">
        <v>698</v>
      </c>
    </row>
    <row r="58" spans="1:5" x14ac:dyDescent="0.35">
      <c r="A58">
        <v>57</v>
      </c>
      <c r="B58" t="s">
        <v>920</v>
      </c>
      <c r="C58" t="s">
        <v>864</v>
      </c>
      <c r="D58">
        <v>1582</v>
      </c>
      <c r="E58" t="s">
        <v>707</v>
      </c>
    </row>
    <row r="59" spans="1:5" x14ac:dyDescent="0.35">
      <c r="A59">
        <v>58</v>
      </c>
      <c r="B59" t="s">
        <v>921</v>
      </c>
      <c r="C59" t="s">
        <v>869</v>
      </c>
      <c r="D59">
        <v>1492</v>
      </c>
      <c r="E59" t="s">
        <v>620</v>
      </c>
    </row>
    <row r="60" spans="1:5" x14ac:dyDescent="0.35">
      <c r="A60">
        <v>59</v>
      </c>
      <c r="B60" t="s">
        <v>922</v>
      </c>
      <c r="C60" t="s">
        <v>869</v>
      </c>
      <c r="D60">
        <v>811</v>
      </c>
      <c r="E60" t="s">
        <v>794</v>
      </c>
    </row>
    <row r="61" spans="1:5" x14ac:dyDescent="0.35">
      <c r="A61">
        <v>60</v>
      </c>
      <c r="B61" t="s">
        <v>923</v>
      </c>
      <c r="C61" t="s">
        <v>866</v>
      </c>
      <c r="D61">
        <v>827</v>
      </c>
      <c r="E61" t="s">
        <v>829</v>
      </c>
    </row>
    <row r="62" spans="1:5" x14ac:dyDescent="0.35">
      <c r="A62">
        <v>61</v>
      </c>
      <c r="B62" t="s">
        <v>924</v>
      </c>
      <c r="C62" t="s">
        <v>862</v>
      </c>
      <c r="D62">
        <v>810</v>
      </c>
      <c r="E62" t="s">
        <v>698</v>
      </c>
    </row>
    <row r="63" spans="1:5" x14ac:dyDescent="0.35">
      <c r="A63">
        <v>62</v>
      </c>
      <c r="B63" t="s">
        <v>925</v>
      </c>
      <c r="C63" t="s">
        <v>864</v>
      </c>
      <c r="D63">
        <v>1356</v>
      </c>
      <c r="E63" t="s">
        <v>701</v>
      </c>
    </row>
    <row r="64" spans="1:5" x14ac:dyDescent="0.35">
      <c r="A64">
        <v>63</v>
      </c>
      <c r="B64" t="s">
        <v>926</v>
      </c>
      <c r="C64" t="s">
        <v>866</v>
      </c>
      <c r="D64">
        <v>1348</v>
      </c>
      <c r="E64" t="s">
        <v>699</v>
      </c>
    </row>
    <row r="65" spans="1:5" x14ac:dyDescent="0.35">
      <c r="A65">
        <v>64</v>
      </c>
      <c r="B65" t="s">
        <v>927</v>
      </c>
      <c r="C65" t="s">
        <v>860</v>
      </c>
      <c r="D65">
        <v>1878</v>
      </c>
      <c r="E65" t="s">
        <v>794</v>
      </c>
    </row>
    <row r="66" spans="1:5" x14ac:dyDescent="0.35">
      <c r="A66">
        <v>65</v>
      </c>
      <c r="B66" t="s">
        <v>928</v>
      </c>
      <c r="C66" t="s">
        <v>794</v>
      </c>
      <c r="D66">
        <v>1895</v>
      </c>
      <c r="E66" t="s">
        <v>699</v>
      </c>
    </row>
    <row r="67" spans="1:5" x14ac:dyDescent="0.35">
      <c r="A67">
        <v>66</v>
      </c>
      <c r="B67" t="s">
        <v>929</v>
      </c>
      <c r="C67" t="s">
        <v>864</v>
      </c>
      <c r="D67">
        <v>610</v>
      </c>
      <c r="E67" t="s">
        <v>701</v>
      </c>
    </row>
    <row r="68" spans="1:5" x14ac:dyDescent="0.35">
      <c r="A68">
        <v>67</v>
      </c>
      <c r="B68" t="s">
        <v>930</v>
      </c>
      <c r="C68" t="s">
        <v>794</v>
      </c>
      <c r="D68">
        <v>1374</v>
      </c>
      <c r="E68" t="s">
        <v>698</v>
      </c>
    </row>
    <row r="69" spans="1:5" x14ac:dyDescent="0.35">
      <c r="A69">
        <v>68</v>
      </c>
      <c r="B69" t="s">
        <v>931</v>
      </c>
      <c r="C69" t="s">
        <v>860</v>
      </c>
      <c r="D69">
        <v>597</v>
      </c>
      <c r="E69" t="s">
        <v>620</v>
      </c>
    </row>
    <row r="70" spans="1:5" x14ac:dyDescent="0.35">
      <c r="A70">
        <v>69</v>
      </c>
      <c r="B70" t="s">
        <v>932</v>
      </c>
      <c r="C70" t="s">
        <v>869</v>
      </c>
      <c r="D70">
        <v>998</v>
      </c>
      <c r="E70" t="s">
        <v>701</v>
      </c>
    </row>
    <row r="71" spans="1:5" x14ac:dyDescent="0.35">
      <c r="A71">
        <v>70</v>
      </c>
      <c r="B71" t="s">
        <v>928</v>
      </c>
      <c r="C71" t="s">
        <v>866</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01E0-3D97-4434-8AA8-B22C42D2DA01}">
  <dimension ref="B2:J36"/>
  <sheetViews>
    <sheetView zoomScale="70" zoomScaleNormal="70" workbookViewId="0">
      <selection activeCell="G3" sqref="G3"/>
    </sheetView>
  </sheetViews>
  <sheetFormatPr defaultRowHeight="14.5" x14ac:dyDescent="0.35"/>
  <cols>
    <col min="2" max="2" width="13.36328125" bestFit="1" customWidth="1"/>
    <col min="3" max="3" width="15.81640625" bestFit="1" customWidth="1"/>
    <col min="4" max="4" width="14.36328125" bestFit="1" customWidth="1"/>
    <col min="5" max="5" width="13.36328125" bestFit="1" customWidth="1"/>
    <col min="6" max="6" width="15.90625" bestFit="1" customWidth="1"/>
    <col min="7" max="7" width="17.36328125" bestFit="1" customWidth="1"/>
    <col min="8" max="8" width="14.6328125" bestFit="1" customWidth="1"/>
    <col min="9" max="9" width="14.36328125" bestFit="1" customWidth="1"/>
    <col min="10" max="10" width="15.90625" bestFit="1" customWidth="1"/>
  </cols>
  <sheetData>
    <row r="2" spans="2:10" x14ac:dyDescent="0.35">
      <c r="B2" s="6" t="s">
        <v>944</v>
      </c>
      <c r="C2" t="s">
        <v>945</v>
      </c>
      <c r="E2">
        <f>CORREL(Orders!D:D,Orders!M:M)</f>
        <v>3.4781737193018245E-3</v>
      </c>
      <c r="G2" t="s">
        <v>946</v>
      </c>
    </row>
    <row r="3" spans="2:10" x14ac:dyDescent="0.35">
      <c r="B3" s="8">
        <v>3520984</v>
      </c>
      <c r="C3" s="7">
        <v>5.53</v>
      </c>
      <c r="G3" s="10">
        <v>3520.9839999999999</v>
      </c>
      <c r="J3" t="s">
        <v>947</v>
      </c>
    </row>
    <row r="4" spans="2:10" x14ac:dyDescent="0.35">
      <c r="J4" s="9">
        <v>1000</v>
      </c>
    </row>
    <row r="5" spans="2:10" x14ac:dyDescent="0.35">
      <c r="B5" s="4" t="s">
        <v>933</v>
      </c>
      <c r="C5" s="6" t="s">
        <v>944</v>
      </c>
      <c r="E5" s="4" t="s">
        <v>933</v>
      </c>
      <c r="F5" t="s">
        <v>944</v>
      </c>
      <c r="H5" s="4" t="s">
        <v>933</v>
      </c>
      <c r="I5" t="s">
        <v>944</v>
      </c>
    </row>
    <row r="6" spans="2:10" x14ac:dyDescent="0.35">
      <c r="B6" s="5" t="s">
        <v>842</v>
      </c>
      <c r="C6" s="6">
        <v>95468</v>
      </c>
      <c r="E6" s="5" t="s">
        <v>878</v>
      </c>
      <c r="F6" s="6">
        <v>97665</v>
      </c>
      <c r="H6" s="5" t="s">
        <v>869</v>
      </c>
      <c r="I6" s="6">
        <v>329862</v>
      </c>
    </row>
    <row r="7" spans="2:10" x14ac:dyDescent="0.35">
      <c r="B7" s="5" t="s">
        <v>621</v>
      </c>
      <c r="C7" s="6">
        <v>704509</v>
      </c>
      <c r="E7" s="5" t="s">
        <v>919</v>
      </c>
      <c r="F7" s="6">
        <v>106624</v>
      </c>
      <c r="H7" s="5" t="s">
        <v>864</v>
      </c>
      <c r="I7" s="6">
        <v>1005645</v>
      </c>
    </row>
    <row r="8" spans="2:10" x14ac:dyDescent="0.35">
      <c r="B8" s="5" t="s">
        <v>747</v>
      </c>
      <c r="C8" s="6">
        <v>511823</v>
      </c>
      <c r="E8" s="5" t="s">
        <v>911</v>
      </c>
      <c r="F8" s="6">
        <v>101556</v>
      </c>
      <c r="H8" s="5" t="s">
        <v>875</v>
      </c>
      <c r="I8" s="6">
        <v>201151</v>
      </c>
    </row>
    <row r="9" spans="2:10" x14ac:dyDescent="0.35">
      <c r="B9" s="5" t="s">
        <v>837</v>
      </c>
      <c r="C9" s="6">
        <v>140393</v>
      </c>
      <c r="E9" s="5" t="s">
        <v>859</v>
      </c>
      <c r="F9" s="6">
        <v>121905</v>
      </c>
      <c r="H9" s="5" t="s">
        <v>862</v>
      </c>
      <c r="I9" s="6">
        <v>212281</v>
      </c>
    </row>
    <row r="10" spans="2:10" x14ac:dyDescent="0.35">
      <c r="B10" s="5" t="s">
        <v>840</v>
      </c>
      <c r="C10" s="6">
        <v>150346</v>
      </c>
      <c r="E10" s="5" t="s">
        <v>885</v>
      </c>
      <c r="F10" s="6">
        <v>114476</v>
      </c>
      <c r="H10" s="5" t="s">
        <v>794</v>
      </c>
      <c r="I10" s="6">
        <v>297372</v>
      </c>
    </row>
    <row r="11" spans="2:10" x14ac:dyDescent="0.35">
      <c r="B11" s="5" t="s">
        <v>841</v>
      </c>
      <c r="C11" s="6">
        <v>157913</v>
      </c>
      <c r="E11" s="5" t="s">
        <v>934</v>
      </c>
      <c r="F11" s="6">
        <v>542226</v>
      </c>
      <c r="H11" s="5" t="s">
        <v>860</v>
      </c>
      <c r="I11" s="6">
        <v>740831</v>
      </c>
    </row>
    <row r="12" spans="2:10" x14ac:dyDescent="0.35">
      <c r="B12" s="5" t="s">
        <v>839</v>
      </c>
      <c r="C12" s="6">
        <v>135826</v>
      </c>
      <c r="H12" s="5" t="s">
        <v>866</v>
      </c>
      <c r="I12" s="6">
        <v>733842</v>
      </c>
    </row>
    <row r="13" spans="2:10" x14ac:dyDescent="0.35">
      <c r="B13" s="5" t="s">
        <v>795</v>
      </c>
      <c r="C13" s="6">
        <v>737389</v>
      </c>
      <c r="E13" s="4" t="s">
        <v>933</v>
      </c>
      <c r="F13" t="s">
        <v>947</v>
      </c>
      <c r="H13" s="5" t="s">
        <v>934</v>
      </c>
      <c r="I13" s="6">
        <v>3520984</v>
      </c>
    </row>
    <row r="14" spans="2:10" x14ac:dyDescent="0.35">
      <c r="B14" s="5" t="s">
        <v>843</v>
      </c>
      <c r="C14" s="6">
        <v>136938</v>
      </c>
      <c r="E14" s="5" t="s">
        <v>649</v>
      </c>
      <c r="F14" s="7">
        <v>9</v>
      </c>
    </row>
    <row r="15" spans="2:10" x14ac:dyDescent="0.35">
      <c r="B15" s="5" t="s">
        <v>845</v>
      </c>
      <c r="C15" s="6">
        <v>151619</v>
      </c>
      <c r="E15" s="5" t="s">
        <v>639</v>
      </c>
      <c r="F15" s="7">
        <v>7</v>
      </c>
      <c r="H15" s="4" t="s">
        <v>933</v>
      </c>
      <c r="I15" t="s">
        <v>944</v>
      </c>
    </row>
    <row r="16" spans="2:10" x14ac:dyDescent="0.35">
      <c r="B16" s="5" t="s">
        <v>822</v>
      </c>
      <c r="C16" s="6">
        <v>449169</v>
      </c>
      <c r="E16" s="5" t="s">
        <v>478</v>
      </c>
      <c r="F16" s="7">
        <v>8</v>
      </c>
      <c r="H16" s="5" t="s">
        <v>699</v>
      </c>
      <c r="I16" s="6">
        <v>586176</v>
      </c>
    </row>
    <row r="17" spans="2:9" x14ac:dyDescent="0.35">
      <c r="B17" s="5" t="s">
        <v>836</v>
      </c>
      <c r="C17" s="6">
        <v>149591</v>
      </c>
      <c r="E17" s="5" t="s">
        <v>26</v>
      </c>
      <c r="F17" s="7">
        <v>7</v>
      </c>
      <c r="H17" s="5" t="s">
        <v>698</v>
      </c>
      <c r="I17" s="6">
        <v>674634</v>
      </c>
    </row>
    <row r="18" spans="2:9" x14ac:dyDescent="0.35">
      <c r="B18" s="5" t="s">
        <v>934</v>
      </c>
      <c r="C18" s="6">
        <v>3520984</v>
      </c>
      <c r="E18" s="5" t="s">
        <v>693</v>
      </c>
      <c r="F18" s="7">
        <v>7</v>
      </c>
      <c r="H18" s="5" t="s">
        <v>707</v>
      </c>
      <c r="I18" s="6">
        <v>408194</v>
      </c>
    </row>
    <row r="19" spans="2:9" x14ac:dyDescent="0.35">
      <c r="E19" s="5" t="s">
        <v>661</v>
      </c>
      <c r="F19" s="7">
        <v>9</v>
      </c>
      <c r="H19" s="5" t="s">
        <v>829</v>
      </c>
      <c r="I19" s="6">
        <v>313783</v>
      </c>
    </row>
    <row r="20" spans="2:9" x14ac:dyDescent="0.35">
      <c r="E20" s="5" t="s">
        <v>687</v>
      </c>
      <c r="F20" s="7">
        <v>7</v>
      </c>
      <c r="H20" s="5" t="s">
        <v>701</v>
      </c>
      <c r="I20" s="6">
        <v>574682</v>
      </c>
    </row>
    <row r="21" spans="2:9" x14ac:dyDescent="0.35">
      <c r="E21" s="5" t="s">
        <v>705</v>
      </c>
      <c r="F21" s="7">
        <v>7</v>
      </c>
      <c r="H21" s="5" t="s">
        <v>794</v>
      </c>
      <c r="I21" s="6">
        <v>631585</v>
      </c>
    </row>
    <row r="22" spans="2:9" x14ac:dyDescent="0.35">
      <c r="E22" s="5" t="s">
        <v>685</v>
      </c>
      <c r="F22" s="7">
        <v>7</v>
      </c>
      <c r="H22" s="5" t="s">
        <v>620</v>
      </c>
      <c r="I22" s="6">
        <v>331930</v>
      </c>
    </row>
    <row r="23" spans="2:9" x14ac:dyDescent="0.35">
      <c r="E23" s="5" t="s">
        <v>648</v>
      </c>
      <c r="F23" s="7">
        <v>7</v>
      </c>
      <c r="H23" s="5" t="s">
        <v>934</v>
      </c>
      <c r="I23" s="6">
        <v>3520984</v>
      </c>
    </row>
    <row r="24" spans="2:9" x14ac:dyDescent="0.35">
      <c r="E24" s="5" t="s">
        <v>934</v>
      </c>
      <c r="F24" s="7">
        <v>75</v>
      </c>
    </row>
    <row r="25" spans="2:9" x14ac:dyDescent="0.35">
      <c r="C25" s="4" t="s">
        <v>933</v>
      </c>
      <c r="D25" t="s">
        <v>944</v>
      </c>
    </row>
    <row r="26" spans="2:9" x14ac:dyDescent="0.35">
      <c r="C26" s="5">
        <v>5</v>
      </c>
      <c r="D26" s="6">
        <v>156198</v>
      </c>
    </row>
    <row r="27" spans="2:9" x14ac:dyDescent="0.35">
      <c r="C27" s="5">
        <v>6</v>
      </c>
      <c r="D27" s="6">
        <v>177211</v>
      </c>
    </row>
    <row r="28" spans="2:9" x14ac:dyDescent="0.35">
      <c r="C28" s="5">
        <v>12</v>
      </c>
      <c r="D28" s="6">
        <v>162394</v>
      </c>
    </row>
    <row r="29" spans="2:9" x14ac:dyDescent="0.35">
      <c r="C29" s="5">
        <v>15</v>
      </c>
      <c r="D29" s="6">
        <v>163586</v>
      </c>
    </row>
    <row r="30" spans="2:9" x14ac:dyDescent="0.35">
      <c r="C30" s="5">
        <v>17</v>
      </c>
      <c r="D30" s="6">
        <v>155373</v>
      </c>
    </row>
    <row r="31" spans="2:9" x14ac:dyDescent="0.35">
      <c r="C31" s="5">
        <v>18</v>
      </c>
      <c r="D31" s="6">
        <v>173118</v>
      </c>
    </row>
    <row r="32" spans="2:9" x14ac:dyDescent="0.35">
      <c r="C32" s="5">
        <v>19</v>
      </c>
      <c r="D32" s="6">
        <v>185771</v>
      </c>
    </row>
    <row r="33" spans="3:4" x14ac:dyDescent="0.35">
      <c r="C33" s="5">
        <v>20</v>
      </c>
      <c r="D33" s="6">
        <v>186426</v>
      </c>
    </row>
    <row r="34" spans="3:4" x14ac:dyDescent="0.35">
      <c r="C34" s="5">
        <v>21</v>
      </c>
      <c r="D34" s="6">
        <v>155466</v>
      </c>
    </row>
    <row r="35" spans="3:4" x14ac:dyDescent="0.35">
      <c r="C35" s="5">
        <v>23</v>
      </c>
      <c r="D35" s="6">
        <v>168511</v>
      </c>
    </row>
    <row r="36" spans="3:4" x14ac:dyDescent="0.35">
      <c r="C36" s="5" t="s">
        <v>934</v>
      </c>
      <c r="D36" s="6">
        <v>1684054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90566-25E5-469B-879F-346D9DE82698}">
  <dimension ref="A1"/>
  <sheetViews>
    <sheetView showGridLines="0" tabSelected="1" topLeftCell="A2" zoomScale="70" zoomScaleNormal="70" workbookViewId="0">
      <selection activeCell="D48" sqref="D48"/>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E7F2DA1-6FF4-4D8A-8233-FE596B381107}">
  <ds:schemaRefs/>
</ds:datastoreItem>
</file>

<file path=customXml/itemProps2.xml><?xml version="1.0" encoding="utf-8"?>
<ds:datastoreItem xmlns:ds="http://schemas.openxmlformats.org/officeDocument/2006/customXml" ds:itemID="{BAD3519C-867D-4C62-91DD-70359F3DD011}">
  <ds:schemaRefs/>
</ds:datastoreItem>
</file>

<file path=customXml/itemProps3.xml><?xml version="1.0" encoding="utf-8"?>
<ds:datastoreItem xmlns:ds="http://schemas.openxmlformats.org/officeDocument/2006/customXml" ds:itemID="{8DE6341C-942F-4906-92B8-F33A584CD6FC}">
  <ds:schemaRefs/>
</ds:datastoreItem>
</file>

<file path=customXml/itemProps4.xml><?xml version="1.0" encoding="utf-8"?>
<ds:datastoreItem xmlns:ds="http://schemas.openxmlformats.org/officeDocument/2006/customXml" ds:itemID="{53D34F40-D6FD-463D-8BD8-1018B58FAB38}">
  <ds:schemaRefs/>
</ds:datastoreItem>
</file>

<file path=customXml/itemProps5.xml><?xml version="1.0" encoding="utf-8"?>
<ds:datastoreItem xmlns:ds="http://schemas.openxmlformats.org/officeDocument/2006/customXml" ds:itemID="{0F41D770-C328-4FC9-BCDD-1932F1819FC8}">
  <ds:schemaRefs/>
</ds:datastoreItem>
</file>

<file path=customXml/itemProps6.xml><?xml version="1.0" encoding="utf-8"?>
<ds:datastoreItem xmlns:ds="http://schemas.openxmlformats.org/officeDocument/2006/customXml" ds:itemID="{ED4DDA5B-ACF0-4629-9849-B5F30282AD1F}">
  <ds:schemaRefs/>
</ds:datastoreItem>
</file>

<file path=customXml/itemProps7.xml><?xml version="1.0" encoding="utf-8"?>
<ds:datastoreItem xmlns:ds="http://schemas.openxmlformats.org/officeDocument/2006/customXml" ds:itemID="{7F70C811-1415-41B2-8275-D75ADBA1600C}">
  <ds:schemaRefs/>
</ds:datastoreItem>
</file>

<file path=customXml/itemProps8.xml><?xml version="1.0" encoding="utf-8"?>
<ds:datastoreItem xmlns:ds="http://schemas.openxmlformats.org/officeDocument/2006/customXml" ds:itemID="{16AA378D-7542-4E28-AF80-D9526F6CE8E8}">
  <ds:schemaRefs/>
</ds:datastoreItem>
</file>

<file path=customXml/itemProps9.xml><?xml version="1.0" encoding="utf-8"?>
<ds:datastoreItem xmlns:ds="http://schemas.openxmlformats.org/officeDocument/2006/customXml" ds:itemID="{BBA64A7E-157F-4A41-A926-11654DF3F616}">
  <ds:schemaRefs/>
</ds:datastoreItem>
</file>

<file path=customXml/itemProps10.xml><?xml version="1.0" encoding="utf-8"?>
<ds:datastoreItem xmlns:ds="http://schemas.openxmlformats.org/officeDocument/2006/customXml" ds:itemID="{777D7E6F-A0B1-4B35-96FD-447025CCA433}">
  <ds:schemaRefs/>
</ds:datastoreItem>
</file>

<file path=customXml/itemProps11.xml><?xml version="1.0" encoding="utf-8"?>
<ds:datastoreItem xmlns:ds="http://schemas.openxmlformats.org/officeDocument/2006/customXml" ds:itemID="{675354EC-9820-431C-ADBA-1E3D39BBE6B5}">
  <ds:schemaRefs/>
</ds:datastoreItem>
</file>

<file path=customXml/itemProps12.xml><?xml version="1.0" encoding="utf-8"?>
<ds:datastoreItem xmlns:ds="http://schemas.openxmlformats.org/officeDocument/2006/customXml" ds:itemID="{3E42C991-304D-4FEF-A596-1C64D66E1178}">
  <ds:schemaRefs/>
</ds:datastoreItem>
</file>

<file path=customXml/itemProps13.xml><?xml version="1.0" encoding="utf-8"?>
<ds:datastoreItem xmlns:ds="http://schemas.openxmlformats.org/officeDocument/2006/customXml" ds:itemID="{7F159A85-E16C-4CE8-BA52-112BE9AAC0BE}">
  <ds:schemaRefs/>
</ds:datastoreItem>
</file>

<file path=customXml/itemProps14.xml><?xml version="1.0" encoding="utf-8"?>
<ds:datastoreItem xmlns:ds="http://schemas.openxmlformats.org/officeDocument/2006/customXml" ds:itemID="{C25A2BC8-F901-44AF-81B0-49675A24705B}">
  <ds:schemaRefs/>
</ds:datastoreItem>
</file>

<file path=customXml/itemProps15.xml><?xml version="1.0" encoding="utf-8"?>
<ds:datastoreItem xmlns:ds="http://schemas.openxmlformats.org/officeDocument/2006/customXml" ds:itemID="{4FA8AF54-76D9-49C2-83D6-9DC26F040CFE}">
  <ds:schemaRefs/>
</ds:datastoreItem>
</file>

<file path=customXml/itemProps16.xml><?xml version="1.0" encoding="utf-8"?>
<ds:datastoreItem xmlns:ds="http://schemas.openxmlformats.org/officeDocument/2006/customXml" ds:itemID="{B88B4E8D-6633-4FF3-A884-CB9CC13EEF05}">
  <ds:schemaRefs/>
</ds:datastoreItem>
</file>

<file path=customXml/itemProps17.xml><?xml version="1.0" encoding="utf-8"?>
<ds:datastoreItem xmlns:ds="http://schemas.openxmlformats.org/officeDocument/2006/customXml" ds:itemID="{5992E75C-09DC-461A-A863-45D7DA88F2E4}">
  <ds:schemaRefs/>
</ds:datastoreItem>
</file>

<file path=customXml/itemProps18.xml><?xml version="1.0" encoding="utf-8"?>
<ds:datastoreItem xmlns:ds="http://schemas.openxmlformats.org/officeDocument/2006/customXml" ds:itemID="{D75965C4-9D6C-441C-B115-70BDF5536819}">
  <ds:schemaRefs/>
</ds:datastoreItem>
</file>

<file path=customXml/itemProps19.xml><?xml version="1.0" encoding="utf-8"?>
<ds:datastoreItem xmlns:ds="http://schemas.openxmlformats.org/officeDocument/2006/customXml" ds:itemID="{B668B2F4-19BD-4098-B983-B88ED0C00816}">
  <ds:schemaRefs/>
</ds:datastoreItem>
</file>

<file path=customXml/itemProps20.xml><?xml version="1.0" encoding="utf-8"?>
<ds:datastoreItem xmlns:ds="http://schemas.openxmlformats.org/officeDocument/2006/customXml" ds:itemID="{BD106706-2CC2-41FD-99F1-6D9006D706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New Project Excel</vt:lpstr>
      <vt:lpstr>Customers</vt:lpstr>
      <vt:lpstr>Orders</vt:lpstr>
      <vt:lpstr>products</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KANDIEL</dc:creator>
  <cp:lastModifiedBy>MOHAMED KANDIEL</cp:lastModifiedBy>
  <dcterms:created xsi:type="dcterms:W3CDTF">2026-01-31T23:02:39Z</dcterms:created>
  <dcterms:modified xsi:type="dcterms:W3CDTF">2026-02-01T21:55:43Z</dcterms:modified>
</cp:coreProperties>
</file>